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eneshKumarPatwa\Documents\Cloude\"/>
    </mc:Choice>
  </mc:AlternateContent>
  <xr:revisionPtr revIDLastSave="0" documentId="13_ncr:1_{D5269B6D-0A92-409B-ACFF-84398AF221F0}" xr6:coauthVersionLast="47" xr6:coauthVersionMax="47" xr10:uidLastSave="{00000000-0000-0000-0000-000000000000}"/>
  <bookViews>
    <workbookView xWindow="-120" yWindow="-120" windowWidth="38640" windowHeight="21120" activeTab="2" xr2:uid="{261460A2-EF12-4960-8006-D29C98DD2962}"/>
  </bookViews>
  <sheets>
    <sheet name="Journal" sheetId="1" r:id="rId1"/>
    <sheet name="Summary" sheetId="2" r:id="rId2"/>
    <sheet name="Guid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7" i="2" l="1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T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Q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N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M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L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K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B2" i="2" l="1"/>
</calcChain>
</file>

<file path=xl/sharedStrings.xml><?xml version="1.0" encoding="utf-8"?>
<sst xmlns="http://schemas.openxmlformats.org/spreadsheetml/2006/main" count="63" uniqueCount="63">
  <si>
    <t>Date</t>
  </si>
  <si>
    <t>Stock</t>
  </si>
  <si>
    <t>Side</t>
  </si>
  <si>
    <t>Entry</t>
  </si>
  <si>
    <t>Stop</t>
  </si>
  <si>
    <t>Target</t>
  </si>
  <si>
    <t>Qty</t>
  </si>
  <si>
    <t>Risk/Share</t>
  </si>
  <si>
    <t>Total Risk</t>
  </si>
  <si>
    <t>Exit</t>
  </si>
  <si>
    <t>Buy Turnover</t>
  </si>
  <si>
    <t>Sell Turnover</t>
  </si>
  <si>
    <t>Gross P&amp;L</t>
  </si>
  <si>
    <t>Charges</t>
  </si>
  <si>
    <t>Net P&amp;L</t>
  </si>
  <si>
    <t>Result</t>
  </si>
  <si>
    <t>R (net)</t>
  </si>
  <si>
    <t>Score</t>
  </si>
  <si>
    <t>Notes</t>
  </si>
  <si>
    <t>Cum P&amp;L</t>
  </si>
  <si>
    <t>MOMENTUM TRADER PRO  -  PERFORMANCE SUMMARY</t>
  </si>
  <si>
    <t>Total Trades (closed)</t>
  </si>
  <si>
    <t>Wins</t>
  </si>
  <si>
    <t>Losses</t>
  </si>
  <si>
    <t>Breakeven</t>
  </si>
  <si>
    <t>Win Rate</t>
  </si>
  <si>
    <t>Gross Profit</t>
  </si>
  <si>
    <t>Gross Loss</t>
  </si>
  <si>
    <t>Profit Factor</t>
  </si>
  <si>
    <t>NET P&amp;L</t>
  </si>
  <si>
    <t>Total Charges Paid</t>
  </si>
  <si>
    <t>Avg Win</t>
  </si>
  <si>
    <t>Avg Loss</t>
  </si>
  <si>
    <t>Expectancy / trade</t>
  </si>
  <si>
    <t>Avg R (net)</t>
  </si>
  <si>
    <t>Best Trade</t>
  </si>
  <si>
    <t>Worst Trade</t>
  </si>
  <si>
    <t>Note: WIN if Net P&amp;L &gt; 0 (after charges). Breakeven-after-charges win rate for 2R target is ~39%.</t>
  </si>
  <si>
    <t>HOW TO USE THIS JOURNAL</t>
  </si>
  <si>
    <t>1. Fill ONLY the yellow columns on the Journal sheet:</t>
  </si>
  <si>
    <t xml:space="preserve">     Date, Stock, Side (BUY/SELL), Entry, Stop, Target, Qty, Exit, Score, Notes</t>
  </si>
  <si>
    <t xml:space="preserve">   Take these numbers straight from the Trade Ticket on your TradingView chart.</t>
  </si>
  <si>
    <t>2. The grey columns calculate automatically:</t>
  </si>
  <si>
    <t xml:space="preserve">     Risk/Share, Total Risk, Turnovers, Gross P&amp;L, Charges, Net P&amp;L, Result, R.</t>
  </si>
  <si>
    <t>3. Enter the EXIT price only when the trade is closed (target, stop, or 15:20).</t>
  </si>
  <si>
    <t xml:space="preserve">   Until you enter Exit, the row stays blank in the stats.</t>
  </si>
  <si>
    <t>4. The Summary sheet updates live: Win Rate, Profit Factor, Net P&amp;L, Expectancy.</t>
  </si>
  <si>
    <t>CHARGES MODEL (discount broker, NSE intraday equity):</t>
  </si>
  <si>
    <t xml:space="preserve">   Brokerage : 0.03% or Rs 20 per order, whichever is lower (each side)</t>
  </si>
  <si>
    <t xml:space="preserve">   STT       : 0.025% on SELL side</t>
  </si>
  <si>
    <t xml:space="preserve">   Exchange  : 0.00297% both sides</t>
  </si>
  <si>
    <t xml:space="preserve">   SEBI      : 0.0001% both sides</t>
  </si>
  <si>
    <t xml:space="preserve">   Stamp     : 0.003% on BUY side</t>
  </si>
  <si>
    <t xml:space="preserve">   GST       : 18% on (brokerage + exchange + SEBI)</t>
  </si>
  <si>
    <t>EXAMPLE ROW (type this into Journal row 2 to test):</t>
  </si>
  <si>
    <t xml:space="preserve">   Date=today, Stock=INFY, Side=BUY, Entry=1624, Stop=1617, Target=1638,</t>
  </si>
  <si>
    <t xml:space="preserve">   Qty=71, Exit=1638   -&gt;   Gross +994, Charges ~88, Net ~906, Result WIN</t>
  </si>
  <si>
    <t>DISCIPLINE RULES:</t>
  </si>
  <si>
    <t xml:space="preserve">   - Max 2 trades/day.  Daily loss stop Rs 2000.  Daily profit stop Rs 3000.</t>
  </si>
  <si>
    <t xml:space="preserve">   - No new trades after 14:30.  Force exit 15:20.</t>
  </si>
  <si>
    <t xml:space="preserve">   - Do 30-50 trades before judging. Watch Win Rate AND Profit Factor.</t>
  </si>
  <si>
    <t xml:space="preserve">   - Profit Factor &gt; 1.5 = real edge.  Win rate alone means little.</t>
  </si>
  <si>
    <t>● The equity curve is fully working. Cumulative P&amp;L computes correctly (₹905.88 after the win → ₹324.46 after the loss), and open/unfilled rows are skipped so the line stays clean. Test data was discarded — your journal is blank and ready.
  ✅ Added: Equity Curve on the Summary sheet
  - A line chart plotting your cumulative Net P&amp;L (after charges) trade-by-trade.
  - X-axis = trade number, Y-axis = running total in ₹.
  - It grows automatically as you log trades — no setup needed.
  - Driven by a hidden Cum P&amp;L helper column (column T) so it doesn't clutter your journal.
  - Rows without an Exit are skipped (not plotted as zero), so open trades don't create fake dips.
  Your complete paper-trading kit
  ┌─────────────────────────────────────┬────────────────────────────────────────────────────────┐
  │                File                 │                        Purpose                         │
  ├─────────────────────────────────────┼────────────────────────────────────────────────────────┤
  │ momentum_trader_pro_v6.pine         │ The full strategy (arrows, ticket, filters, alerts)    │
  ├─────────────────────────────────────┼────────────────────────────────────────────────────────┤
  │ Momentum_Trader_Pro_Playbook.txt    │ Daily rules + notification setup                       │
  ├─────────────────────────────────────┼────────────────────────────────────────────────────────┤
  │ Momentum_Paper_Trading_Journal.xlsx │ Journal + live Win Rate / Profit Factor / Equity Curve │
  └─────────────────────────────────────┴────────────────────────────────────────────────────────┘
  How to read your equity curve
  - Smooth line rising left-to-right = consistent edge. This is what you want.
  - Big jagged swings = your position sizing or risk is too erratic.
  - Rises then flattens/drops = the edge may be time-of-day or regime dependent — check your notes.
  - Never recovers after a drawdown = stop and review before risking real money.
  Log 30–50 trades and let the curve tell you the truth. If you want, once you've logged some real paper trades I can help you interpret the curve and stats and suggest which input (score threshold, ATR mult, stock selection) to adjust. Anything else
  you want added to the kit?
✻ Crunched for 3m 41s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</si>
</sst>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yy"/>
    <numFmt numFmtId="165" formatCode="0.0%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4"/>
      <color rgb="FF1F4E79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FFFBD6"/>
        <bgColor indexed="64"/>
      </patternFill>
    </fill>
    <fill>
      <patternFill patternType="solid">
        <fgColor rgb="FFEBEBEB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DDEBF7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4" fontId="0" fillId="0" borderId="0" xfId="0" applyNumberFormat="1"/>
    <xf numFmtId="164" fontId="0" fillId="3" borderId="2" xfId="0" applyNumberFormat="1" applyFill="1" applyBorder="1"/>
    <xf numFmtId="0" fontId="0" fillId="3" borderId="2" xfId="0" applyFill="1" applyBorder="1"/>
    <xf numFmtId="2" fontId="0" fillId="3" borderId="2" xfId="0" applyNumberFormat="1" applyFill="1" applyBorder="1"/>
    <xf numFmtId="2" fontId="0" fillId="4" borderId="2" xfId="0" applyNumberFormat="1" applyFill="1" applyBorder="1"/>
    <xf numFmtId="3" fontId="0" fillId="4" borderId="2" xfId="0" applyNumberFormat="1" applyFill="1" applyBorder="1"/>
    <xf numFmtId="4" fontId="0" fillId="4" borderId="2" xfId="0" applyNumberFormat="1" applyFill="1" applyBorder="1"/>
    <xf numFmtId="0" fontId="0" fillId="4" borderId="2" xfId="0" applyFill="1" applyBorder="1"/>
    <xf numFmtId="0" fontId="2" fillId="2" borderId="2" xfId="0" applyFont="1" applyFill="1" applyBorder="1" applyAlignment="1">
      <alignment horizontal="center" vertical="center"/>
    </xf>
    <xf numFmtId="0" fontId="1" fillId="0" borderId="1" xfId="0" applyFont="1" applyBorder="1"/>
    <xf numFmtId="0" fontId="0" fillId="0" borderId="1" xfId="0" applyBorder="1"/>
    <xf numFmtId="4" fontId="0" fillId="0" borderId="1" xfId="0" applyNumberFormat="1" applyBorder="1"/>
    <xf numFmtId="2" fontId="0" fillId="0" borderId="1" xfId="0" applyNumberFormat="1" applyBorder="1"/>
    <xf numFmtId="0" fontId="1" fillId="5" borderId="1" xfId="0" applyFont="1" applyFill="1" applyBorder="1"/>
    <xf numFmtId="165" fontId="0" fillId="5" borderId="1" xfId="0" applyNumberFormat="1" applyFill="1" applyBorder="1"/>
    <xf numFmtId="0" fontId="1" fillId="6" borderId="1" xfId="0" applyFont="1" applyFill="1" applyBorder="1"/>
    <xf numFmtId="4" fontId="0" fillId="6" borderId="1" xfId="0" applyNumberFormat="1" applyFill="1" applyBorder="1"/>
    <xf numFmtId="0" fontId="1" fillId="7" borderId="1" xfId="0" applyFont="1" applyFill="1" applyBorder="1"/>
    <xf numFmtId="4" fontId="0" fillId="7" borderId="1" xfId="0" applyNumberFormat="1" applyFill="1" applyBorder="1"/>
    <xf numFmtId="0" fontId="4" fillId="0" borderId="0" xfId="0" applyFont="1"/>
    <xf numFmtId="0" fontId="5" fillId="0" borderId="0" xfId="0" applyFont="1"/>
    <xf numFmtId="0" fontId="3" fillId="2" borderId="0" xfId="0" applyFont="1" applyFill="1"/>
    <xf numFmtId="0" fontId="0" fillId="0" borderId="0" xfId="0"/>
    <xf numFmtId="0" fontId="0" fillId="0" borderId="0" xfId="0" applyAlignment="1">
      <alignment wrapText="1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Equity Curve  -  Cumulative Net P&amp;L (Rs)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Journal!$T$1</c:f>
              <c:strCache>
                <c:ptCount val="1"/>
                <c:pt idx="0">
                  <c:v>Cum P&amp;L</c:v>
                </c:pt>
              </c:strCache>
            </c:strRef>
          </c:tx>
          <c:spPr>
            <a:ln w="28575">
              <a:solidFill>
                <a:srgbClr val="1F4E79"/>
              </a:solidFill>
            </a:ln>
          </c:spPr>
          <c:marker>
            <c:symbol val="none"/>
          </c:marker>
          <c:val>
            <c:numRef>
              <c:f>Journal!$T$2:$T$101</c:f>
              <c:numCache>
                <c:formatCode>#,##0.00</c:formatCode>
                <c:ptCount val="100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696-4190-A31B-2588AAD53D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65221695"/>
        <c:axId val="1365205375"/>
      </c:lineChart>
      <c:catAx>
        <c:axId val="13652216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Trade number</a:t>
                </a:r>
              </a:p>
            </c:rich>
          </c:tx>
          <c:overlay val="0"/>
        </c:title>
        <c:majorTickMark val="out"/>
        <c:minorTickMark val="none"/>
        <c:tickLblPos val="nextTo"/>
        <c:crossAx val="1365205375"/>
        <c:crosses val="autoZero"/>
        <c:auto val="1"/>
        <c:lblAlgn val="ctr"/>
        <c:lblOffset val="100"/>
        <c:noMultiLvlLbl val="0"/>
      </c:catAx>
      <c:valAx>
        <c:axId val="136520537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Cumulative Net P&amp;L (Rs)</a:t>
                </a:r>
              </a:p>
            </c:rich>
          </c:tx>
          <c:overlay val="0"/>
        </c:title>
        <c:numFmt formatCode="#,##0.00" sourceLinked="1"/>
        <c:majorTickMark val="out"/>
        <c:minorTickMark val="none"/>
        <c:tickLblPos val="nextTo"/>
        <c:crossAx val="1365221695"/>
        <c:crosses val="autoZero"/>
        <c:crossBetween val="between"/>
      </c:valAx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412750</xdr:colOff>
      <xdr:row>0</xdr:row>
      <xdr:rowOff>190500</xdr:rowOff>
    </xdr:from>
    <xdr:to>
      <xdr:col>12</xdr:col>
      <xdr:colOff>285750</xdr:colOff>
      <xdr:row>20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7D8A6B7-86FF-979A-A5A5-83D67312E8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CF53B-5850-4FC5-A075-5835F3D0A67D}">
  <dimension ref="A1:T101"/>
  <sheetViews>
    <sheetView workbookViewId="0">
      <pane ySplit="1" topLeftCell="A2" activePane="bottomLeft" state="frozenSplit"/>
      <selection pane="bottomLeft"/>
    </sheetView>
  </sheetViews>
  <sheetFormatPr defaultRowHeight="15" x14ac:dyDescent="0.25"/>
  <cols>
    <col min="1" max="2" width="12.7109375" customWidth="1"/>
    <col min="3" max="3" width="4.42578125" bestFit="1" customWidth="1"/>
    <col min="4" max="4" width="5" bestFit="1" customWidth="1"/>
    <col min="5" max="5" width="4.5703125" bestFit="1" customWidth="1"/>
    <col min="6" max="6" width="5.7109375" bestFit="1" customWidth="1"/>
    <col min="7" max="7" width="3.7109375" bestFit="1" customWidth="1"/>
    <col min="8" max="8" width="9.28515625" bestFit="1" customWidth="1"/>
    <col min="9" max="9" width="8.28515625" bestFit="1" customWidth="1"/>
    <col min="10" max="10" width="3.85546875" bestFit="1" customWidth="1"/>
    <col min="11" max="11" width="11" bestFit="1" customWidth="1"/>
    <col min="12" max="12" width="11.28515625" bestFit="1" customWidth="1"/>
    <col min="13" max="13" width="8.7109375" bestFit="1" customWidth="1"/>
    <col min="14" max="14" width="7.28515625" bestFit="1" customWidth="1"/>
    <col min="15" max="15" width="7" bestFit="1" customWidth="1"/>
    <col min="16" max="17" width="6" bestFit="1" customWidth="1"/>
    <col min="18" max="18" width="5.42578125" bestFit="1" customWidth="1"/>
    <col min="19" max="19" width="30.7109375" customWidth="1"/>
    <col min="20" max="20" width="0" hidden="1" customWidth="1"/>
  </cols>
  <sheetData>
    <row r="1" spans="1:20" ht="26.1" customHeight="1" x14ac:dyDescent="0.25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</row>
    <row r="2" spans="1:20" x14ac:dyDescent="0.25">
      <c r="A2" s="2"/>
      <c r="B2" s="3"/>
      <c r="C2" s="3"/>
      <c r="D2" s="4"/>
      <c r="E2" s="4"/>
      <c r="F2" s="4"/>
      <c r="G2" s="3"/>
      <c r="H2" s="5" t="str">
        <f t="shared" ref="H2:H33" si="0">IF(OR(D2="",E2=""),"",ABS(D2-E2))</f>
        <v/>
      </c>
      <c r="I2" s="6" t="str">
        <f t="shared" ref="I2:I33" si="1">IF(OR(H2="",G2=""),"",H2*G2)</f>
        <v/>
      </c>
      <c r="J2" s="4"/>
      <c r="K2" s="6" t="str">
        <f t="shared" ref="K2:K33" si="2">IF(J2="","",IF(UPPER(C2)="BUY",D2*G2,J2*G2))</f>
        <v/>
      </c>
      <c r="L2" s="6" t="str">
        <f t="shared" ref="L2:L33" si="3">IF(J2="","",IF(UPPER(C2)="BUY",J2*G2,D2*G2))</f>
        <v/>
      </c>
      <c r="M2" s="7" t="str">
        <f t="shared" ref="M2:M33" si="4">IF(J2="","",IF(UPPER(C2)="BUY",(J2-D2)*G2,(D2-J2)*G2))</f>
        <v/>
      </c>
      <c r="N2" s="7" t="str">
        <f t="shared" ref="N2:N33" si="5">IF(J2="","",MIN(0.0003*K2,20)+MIN(0.0003*L2,20)+0.00025*L2+0.0000297*(K2+L2)+0.000001*(K2+L2)+0.00003*K2+0.18*(MIN(0.0003*K2,20)+MIN(0.0003*L2,20)+0.0000297*(K2+L2)+0.000001*(K2+L2)))</f>
        <v/>
      </c>
      <c r="O2" s="7" t="str">
        <f t="shared" ref="O2:O33" si="6">IF(J2="","",M2-N2)</f>
        <v/>
      </c>
      <c r="P2" s="8" t="str">
        <f t="shared" ref="P2:P33" si="7">IF(J2="","",IF(O2&gt;0,"WIN",IF(O2&lt;0,"LOSS","BE")))</f>
        <v/>
      </c>
      <c r="Q2" s="5" t="str">
        <f t="shared" ref="Q2:Q33" si="8">IF(OR(J2="",I2="",I2=0),"",O2/I2)</f>
        <v/>
      </c>
      <c r="R2" s="3"/>
      <c r="S2" s="3"/>
      <c r="T2" s="7" t="e">
        <f>IF(O2="",NA(),SUM($O$2:O2))</f>
        <v>#N/A</v>
      </c>
    </row>
    <row r="3" spans="1:20" x14ac:dyDescent="0.25">
      <c r="A3" s="2"/>
      <c r="B3" s="3"/>
      <c r="C3" s="3"/>
      <c r="D3" s="4"/>
      <c r="E3" s="4"/>
      <c r="F3" s="4"/>
      <c r="G3" s="3"/>
      <c r="H3" s="5" t="str">
        <f t="shared" si="0"/>
        <v/>
      </c>
      <c r="I3" s="6" t="str">
        <f t="shared" si="1"/>
        <v/>
      </c>
      <c r="J3" s="4"/>
      <c r="K3" s="6" t="str">
        <f t="shared" si="2"/>
        <v/>
      </c>
      <c r="L3" s="6" t="str">
        <f t="shared" si="3"/>
        <v/>
      </c>
      <c r="M3" s="7" t="str">
        <f t="shared" si="4"/>
        <v/>
      </c>
      <c r="N3" s="7" t="str">
        <f t="shared" si="5"/>
        <v/>
      </c>
      <c r="O3" s="7" t="str">
        <f t="shared" si="6"/>
        <v/>
      </c>
      <c r="P3" s="8" t="str">
        <f t="shared" si="7"/>
        <v/>
      </c>
      <c r="Q3" s="5" t="str">
        <f t="shared" si="8"/>
        <v/>
      </c>
      <c r="R3" s="3"/>
      <c r="S3" s="3"/>
      <c r="T3" s="7" t="e">
        <f>IF(O3="",NA(),SUM($O$2:O3))</f>
        <v>#N/A</v>
      </c>
    </row>
    <row r="4" spans="1:20" x14ac:dyDescent="0.25">
      <c r="A4" s="2"/>
      <c r="B4" s="3"/>
      <c r="C4" s="3"/>
      <c r="D4" s="4"/>
      <c r="E4" s="4"/>
      <c r="F4" s="4"/>
      <c r="G4" s="3"/>
      <c r="H4" s="5" t="str">
        <f t="shared" si="0"/>
        <v/>
      </c>
      <c r="I4" s="6" t="str">
        <f t="shared" si="1"/>
        <v/>
      </c>
      <c r="J4" s="4"/>
      <c r="K4" s="6" t="str">
        <f t="shared" si="2"/>
        <v/>
      </c>
      <c r="L4" s="6" t="str">
        <f t="shared" si="3"/>
        <v/>
      </c>
      <c r="M4" s="7" t="str">
        <f t="shared" si="4"/>
        <v/>
      </c>
      <c r="N4" s="7" t="str">
        <f t="shared" si="5"/>
        <v/>
      </c>
      <c r="O4" s="7" t="str">
        <f t="shared" si="6"/>
        <v/>
      </c>
      <c r="P4" s="8" t="str">
        <f t="shared" si="7"/>
        <v/>
      </c>
      <c r="Q4" s="5" t="str">
        <f t="shared" si="8"/>
        <v/>
      </c>
      <c r="R4" s="3"/>
      <c r="S4" s="3"/>
      <c r="T4" s="7" t="e">
        <f>IF(O4="",NA(),SUM($O$2:O4))</f>
        <v>#N/A</v>
      </c>
    </row>
    <row r="5" spans="1:20" x14ac:dyDescent="0.25">
      <c r="A5" s="2"/>
      <c r="B5" s="3"/>
      <c r="C5" s="3"/>
      <c r="D5" s="4"/>
      <c r="E5" s="4"/>
      <c r="F5" s="4"/>
      <c r="G5" s="3"/>
      <c r="H5" s="5" t="str">
        <f t="shared" si="0"/>
        <v/>
      </c>
      <c r="I5" s="6" t="str">
        <f t="shared" si="1"/>
        <v/>
      </c>
      <c r="J5" s="4"/>
      <c r="K5" s="6" t="str">
        <f t="shared" si="2"/>
        <v/>
      </c>
      <c r="L5" s="6" t="str">
        <f t="shared" si="3"/>
        <v/>
      </c>
      <c r="M5" s="7" t="str">
        <f t="shared" si="4"/>
        <v/>
      </c>
      <c r="N5" s="7" t="str">
        <f t="shared" si="5"/>
        <v/>
      </c>
      <c r="O5" s="7" t="str">
        <f t="shared" si="6"/>
        <v/>
      </c>
      <c r="P5" s="8" t="str">
        <f t="shared" si="7"/>
        <v/>
      </c>
      <c r="Q5" s="5" t="str">
        <f t="shared" si="8"/>
        <v/>
      </c>
      <c r="R5" s="3"/>
      <c r="S5" s="3"/>
      <c r="T5" s="7" t="e">
        <f>IF(O5="",NA(),SUM($O$2:O5))</f>
        <v>#N/A</v>
      </c>
    </row>
    <row r="6" spans="1:20" x14ac:dyDescent="0.25">
      <c r="A6" s="2"/>
      <c r="B6" s="3"/>
      <c r="C6" s="3"/>
      <c r="D6" s="4"/>
      <c r="E6" s="4"/>
      <c r="F6" s="4"/>
      <c r="G6" s="3"/>
      <c r="H6" s="5" t="str">
        <f t="shared" si="0"/>
        <v/>
      </c>
      <c r="I6" s="6" t="str">
        <f t="shared" si="1"/>
        <v/>
      </c>
      <c r="J6" s="4"/>
      <c r="K6" s="6" t="str">
        <f t="shared" si="2"/>
        <v/>
      </c>
      <c r="L6" s="6" t="str">
        <f t="shared" si="3"/>
        <v/>
      </c>
      <c r="M6" s="7" t="str">
        <f t="shared" si="4"/>
        <v/>
      </c>
      <c r="N6" s="7" t="str">
        <f t="shared" si="5"/>
        <v/>
      </c>
      <c r="O6" s="7" t="str">
        <f t="shared" si="6"/>
        <v/>
      </c>
      <c r="P6" s="8" t="str">
        <f t="shared" si="7"/>
        <v/>
      </c>
      <c r="Q6" s="5" t="str">
        <f t="shared" si="8"/>
        <v/>
      </c>
      <c r="R6" s="3"/>
      <c r="S6" s="3"/>
      <c r="T6" s="7" t="e">
        <f>IF(O6="",NA(),SUM($O$2:O6))</f>
        <v>#N/A</v>
      </c>
    </row>
    <row r="7" spans="1:20" x14ac:dyDescent="0.25">
      <c r="A7" s="2"/>
      <c r="B7" s="3"/>
      <c r="C7" s="3"/>
      <c r="D7" s="4"/>
      <c r="E7" s="4"/>
      <c r="F7" s="4"/>
      <c r="G7" s="3"/>
      <c r="H7" s="5" t="str">
        <f t="shared" si="0"/>
        <v/>
      </c>
      <c r="I7" s="6" t="str">
        <f t="shared" si="1"/>
        <v/>
      </c>
      <c r="J7" s="4"/>
      <c r="K7" s="6" t="str">
        <f t="shared" si="2"/>
        <v/>
      </c>
      <c r="L7" s="6" t="str">
        <f t="shared" si="3"/>
        <v/>
      </c>
      <c r="M7" s="7" t="str">
        <f t="shared" si="4"/>
        <v/>
      </c>
      <c r="N7" s="7" t="str">
        <f t="shared" si="5"/>
        <v/>
      </c>
      <c r="O7" s="7" t="str">
        <f t="shared" si="6"/>
        <v/>
      </c>
      <c r="P7" s="8" t="str">
        <f t="shared" si="7"/>
        <v/>
      </c>
      <c r="Q7" s="5" t="str">
        <f t="shared" si="8"/>
        <v/>
      </c>
      <c r="R7" s="3"/>
      <c r="S7" s="3"/>
      <c r="T7" s="7" t="e">
        <f>IF(O7="",NA(),SUM($O$2:O7))</f>
        <v>#N/A</v>
      </c>
    </row>
    <row r="8" spans="1:20" x14ac:dyDescent="0.25">
      <c r="A8" s="2"/>
      <c r="B8" s="3"/>
      <c r="C8" s="3"/>
      <c r="D8" s="4"/>
      <c r="E8" s="4"/>
      <c r="F8" s="4"/>
      <c r="G8" s="3"/>
      <c r="H8" s="5" t="str">
        <f t="shared" si="0"/>
        <v/>
      </c>
      <c r="I8" s="6" t="str">
        <f t="shared" si="1"/>
        <v/>
      </c>
      <c r="J8" s="4"/>
      <c r="K8" s="6" t="str">
        <f t="shared" si="2"/>
        <v/>
      </c>
      <c r="L8" s="6" t="str">
        <f t="shared" si="3"/>
        <v/>
      </c>
      <c r="M8" s="7" t="str">
        <f t="shared" si="4"/>
        <v/>
      </c>
      <c r="N8" s="7" t="str">
        <f t="shared" si="5"/>
        <v/>
      </c>
      <c r="O8" s="7" t="str">
        <f t="shared" si="6"/>
        <v/>
      </c>
      <c r="P8" s="8" t="str">
        <f t="shared" si="7"/>
        <v/>
      </c>
      <c r="Q8" s="5" t="str">
        <f t="shared" si="8"/>
        <v/>
      </c>
      <c r="R8" s="3"/>
      <c r="S8" s="3"/>
      <c r="T8" s="7" t="e">
        <f>IF(O8="",NA(),SUM($O$2:O8))</f>
        <v>#N/A</v>
      </c>
    </row>
    <row r="9" spans="1:20" x14ac:dyDescent="0.25">
      <c r="A9" s="2"/>
      <c r="B9" s="3"/>
      <c r="C9" s="3"/>
      <c r="D9" s="4"/>
      <c r="E9" s="4"/>
      <c r="F9" s="4"/>
      <c r="G9" s="3"/>
      <c r="H9" s="5" t="str">
        <f t="shared" si="0"/>
        <v/>
      </c>
      <c r="I9" s="6" t="str">
        <f t="shared" si="1"/>
        <v/>
      </c>
      <c r="J9" s="4"/>
      <c r="K9" s="6" t="str">
        <f t="shared" si="2"/>
        <v/>
      </c>
      <c r="L9" s="6" t="str">
        <f t="shared" si="3"/>
        <v/>
      </c>
      <c r="M9" s="7" t="str">
        <f t="shared" si="4"/>
        <v/>
      </c>
      <c r="N9" s="7" t="str">
        <f t="shared" si="5"/>
        <v/>
      </c>
      <c r="O9" s="7" t="str">
        <f t="shared" si="6"/>
        <v/>
      </c>
      <c r="P9" s="8" t="str">
        <f t="shared" si="7"/>
        <v/>
      </c>
      <c r="Q9" s="5" t="str">
        <f t="shared" si="8"/>
        <v/>
      </c>
      <c r="R9" s="3"/>
      <c r="S9" s="3"/>
      <c r="T9" s="7" t="e">
        <f>IF(O9="",NA(),SUM($O$2:O9))</f>
        <v>#N/A</v>
      </c>
    </row>
    <row r="10" spans="1:20" x14ac:dyDescent="0.25">
      <c r="A10" s="2"/>
      <c r="B10" s="3"/>
      <c r="C10" s="3"/>
      <c r="D10" s="4"/>
      <c r="E10" s="4"/>
      <c r="F10" s="4"/>
      <c r="G10" s="3"/>
      <c r="H10" s="5" t="str">
        <f t="shared" si="0"/>
        <v/>
      </c>
      <c r="I10" s="6" t="str">
        <f t="shared" si="1"/>
        <v/>
      </c>
      <c r="J10" s="4"/>
      <c r="K10" s="6" t="str">
        <f t="shared" si="2"/>
        <v/>
      </c>
      <c r="L10" s="6" t="str">
        <f t="shared" si="3"/>
        <v/>
      </c>
      <c r="M10" s="7" t="str">
        <f t="shared" si="4"/>
        <v/>
      </c>
      <c r="N10" s="7" t="str">
        <f t="shared" si="5"/>
        <v/>
      </c>
      <c r="O10" s="7" t="str">
        <f t="shared" si="6"/>
        <v/>
      </c>
      <c r="P10" s="8" t="str">
        <f t="shared" si="7"/>
        <v/>
      </c>
      <c r="Q10" s="5" t="str">
        <f t="shared" si="8"/>
        <v/>
      </c>
      <c r="R10" s="3"/>
      <c r="S10" s="3"/>
      <c r="T10" s="7" t="e">
        <f>IF(O10="",NA(),SUM($O$2:O10))</f>
        <v>#N/A</v>
      </c>
    </row>
    <row r="11" spans="1:20" x14ac:dyDescent="0.25">
      <c r="A11" s="2"/>
      <c r="B11" s="3"/>
      <c r="C11" s="3"/>
      <c r="D11" s="4"/>
      <c r="E11" s="4"/>
      <c r="F11" s="4"/>
      <c r="G11" s="3"/>
      <c r="H11" s="5" t="str">
        <f t="shared" si="0"/>
        <v/>
      </c>
      <c r="I11" s="6" t="str">
        <f t="shared" si="1"/>
        <v/>
      </c>
      <c r="J11" s="4"/>
      <c r="K11" s="6" t="str">
        <f t="shared" si="2"/>
        <v/>
      </c>
      <c r="L11" s="6" t="str">
        <f t="shared" si="3"/>
        <v/>
      </c>
      <c r="M11" s="7" t="str">
        <f t="shared" si="4"/>
        <v/>
      </c>
      <c r="N11" s="7" t="str">
        <f t="shared" si="5"/>
        <v/>
      </c>
      <c r="O11" s="7" t="str">
        <f t="shared" si="6"/>
        <v/>
      </c>
      <c r="P11" s="8" t="str">
        <f t="shared" si="7"/>
        <v/>
      </c>
      <c r="Q11" s="5" t="str">
        <f t="shared" si="8"/>
        <v/>
      </c>
      <c r="R11" s="3"/>
      <c r="S11" s="3"/>
      <c r="T11" s="7" t="e">
        <f>IF(O11="",NA(),SUM($O$2:O11))</f>
        <v>#N/A</v>
      </c>
    </row>
    <row r="12" spans="1:20" x14ac:dyDescent="0.25">
      <c r="A12" s="2"/>
      <c r="B12" s="3"/>
      <c r="C12" s="3"/>
      <c r="D12" s="4"/>
      <c r="E12" s="4"/>
      <c r="F12" s="4"/>
      <c r="G12" s="3"/>
      <c r="H12" s="5" t="str">
        <f t="shared" si="0"/>
        <v/>
      </c>
      <c r="I12" s="6" t="str">
        <f t="shared" si="1"/>
        <v/>
      </c>
      <c r="J12" s="4"/>
      <c r="K12" s="6" t="str">
        <f t="shared" si="2"/>
        <v/>
      </c>
      <c r="L12" s="6" t="str">
        <f t="shared" si="3"/>
        <v/>
      </c>
      <c r="M12" s="7" t="str">
        <f t="shared" si="4"/>
        <v/>
      </c>
      <c r="N12" s="7" t="str">
        <f t="shared" si="5"/>
        <v/>
      </c>
      <c r="O12" s="7" t="str">
        <f t="shared" si="6"/>
        <v/>
      </c>
      <c r="P12" s="8" t="str">
        <f t="shared" si="7"/>
        <v/>
      </c>
      <c r="Q12" s="5" t="str">
        <f t="shared" si="8"/>
        <v/>
      </c>
      <c r="R12" s="3"/>
      <c r="S12" s="3"/>
      <c r="T12" s="7" t="e">
        <f>IF(O12="",NA(),SUM($O$2:O12))</f>
        <v>#N/A</v>
      </c>
    </row>
    <row r="13" spans="1:20" x14ac:dyDescent="0.25">
      <c r="A13" s="2"/>
      <c r="B13" s="3"/>
      <c r="C13" s="3"/>
      <c r="D13" s="4"/>
      <c r="E13" s="4"/>
      <c r="F13" s="4"/>
      <c r="G13" s="3"/>
      <c r="H13" s="5" t="str">
        <f t="shared" si="0"/>
        <v/>
      </c>
      <c r="I13" s="6" t="str">
        <f t="shared" si="1"/>
        <v/>
      </c>
      <c r="J13" s="4"/>
      <c r="K13" s="6" t="str">
        <f t="shared" si="2"/>
        <v/>
      </c>
      <c r="L13" s="6" t="str">
        <f t="shared" si="3"/>
        <v/>
      </c>
      <c r="M13" s="7" t="str">
        <f t="shared" si="4"/>
        <v/>
      </c>
      <c r="N13" s="7" t="str">
        <f t="shared" si="5"/>
        <v/>
      </c>
      <c r="O13" s="7" t="str">
        <f t="shared" si="6"/>
        <v/>
      </c>
      <c r="P13" s="8" t="str">
        <f t="shared" si="7"/>
        <v/>
      </c>
      <c r="Q13" s="5" t="str">
        <f t="shared" si="8"/>
        <v/>
      </c>
      <c r="R13" s="3"/>
      <c r="S13" s="3"/>
      <c r="T13" s="7" t="e">
        <f>IF(O13="",NA(),SUM($O$2:O13))</f>
        <v>#N/A</v>
      </c>
    </row>
    <row r="14" spans="1:20" x14ac:dyDescent="0.25">
      <c r="A14" s="2"/>
      <c r="B14" s="3"/>
      <c r="C14" s="3"/>
      <c r="D14" s="4"/>
      <c r="E14" s="4"/>
      <c r="F14" s="4"/>
      <c r="G14" s="3"/>
      <c r="H14" s="5" t="str">
        <f t="shared" si="0"/>
        <v/>
      </c>
      <c r="I14" s="6" t="str">
        <f t="shared" si="1"/>
        <v/>
      </c>
      <c r="J14" s="4"/>
      <c r="K14" s="6" t="str">
        <f t="shared" si="2"/>
        <v/>
      </c>
      <c r="L14" s="6" t="str">
        <f t="shared" si="3"/>
        <v/>
      </c>
      <c r="M14" s="7" t="str">
        <f t="shared" si="4"/>
        <v/>
      </c>
      <c r="N14" s="7" t="str">
        <f t="shared" si="5"/>
        <v/>
      </c>
      <c r="O14" s="7" t="str">
        <f t="shared" si="6"/>
        <v/>
      </c>
      <c r="P14" s="8" t="str">
        <f t="shared" si="7"/>
        <v/>
      </c>
      <c r="Q14" s="5" t="str">
        <f t="shared" si="8"/>
        <v/>
      </c>
      <c r="R14" s="3"/>
      <c r="S14" s="3"/>
      <c r="T14" s="7" t="e">
        <f>IF(O14="",NA(),SUM($O$2:O14))</f>
        <v>#N/A</v>
      </c>
    </row>
    <row r="15" spans="1:20" x14ac:dyDescent="0.25">
      <c r="A15" s="2"/>
      <c r="B15" s="3"/>
      <c r="C15" s="3"/>
      <c r="D15" s="4"/>
      <c r="E15" s="4"/>
      <c r="F15" s="4"/>
      <c r="G15" s="3"/>
      <c r="H15" s="5" t="str">
        <f t="shared" si="0"/>
        <v/>
      </c>
      <c r="I15" s="6" t="str">
        <f t="shared" si="1"/>
        <v/>
      </c>
      <c r="J15" s="4"/>
      <c r="K15" s="6" t="str">
        <f t="shared" si="2"/>
        <v/>
      </c>
      <c r="L15" s="6" t="str">
        <f t="shared" si="3"/>
        <v/>
      </c>
      <c r="M15" s="7" t="str">
        <f t="shared" si="4"/>
        <v/>
      </c>
      <c r="N15" s="7" t="str">
        <f t="shared" si="5"/>
        <v/>
      </c>
      <c r="O15" s="7" t="str">
        <f t="shared" si="6"/>
        <v/>
      </c>
      <c r="P15" s="8" t="str">
        <f t="shared" si="7"/>
        <v/>
      </c>
      <c r="Q15" s="5" t="str">
        <f t="shared" si="8"/>
        <v/>
      </c>
      <c r="R15" s="3"/>
      <c r="S15" s="3"/>
      <c r="T15" s="7" t="e">
        <f>IF(O15="",NA(),SUM($O$2:O15))</f>
        <v>#N/A</v>
      </c>
    </row>
    <row r="16" spans="1:20" x14ac:dyDescent="0.25">
      <c r="A16" s="2"/>
      <c r="B16" s="3"/>
      <c r="C16" s="3"/>
      <c r="D16" s="4"/>
      <c r="E16" s="4"/>
      <c r="F16" s="4"/>
      <c r="G16" s="3"/>
      <c r="H16" s="5" t="str">
        <f t="shared" si="0"/>
        <v/>
      </c>
      <c r="I16" s="6" t="str">
        <f t="shared" si="1"/>
        <v/>
      </c>
      <c r="J16" s="4"/>
      <c r="K16" s="6" t="str">
        <f t="shared" si="2"/>
        <v/>
      </c>
      <c r="L16" s="6" t="str">
        <f t="shared" si="3"/>
        <v/>
      </c>
      <c r="M16" s="7" t="str">
        <f t="shared" si="4"/>
        <v/>
      </c>
      <c r="N16" s="7" t="str">
        <f t="shared" si="5"/>
        <v/>
      </c>
      <c r="O16" s="7" t="str">
        <f t="shared" si="6"/>
        <v/>
      </c>
      <c r="P16" s="8" t="str">
        <f t="shared" si="7"/>
        <v/>
      </c>
      <c r="Q16" s="5" t="str">
        <f t="shared" si="8"/>
        <v/>
      </c>
      <c r="R16" s="3"/>
      <c r="S16" s="3"/>
      <c r="T16" s="7" t="e">
        <f>IF(O16="",NA(),SUM($O$2:O16))</f>
        <v>#N/A</v>
      </c>
    </row>
    <row r="17" spans="1:20" x14ac:dyDescent="0.25">
      <c r="A17" s="2"/>
      <c r="B17" s="3"/>
      <c r="C17" s="3"/>
      <c r="D17" s="4"/>
      <c r="E17" s="4"/>
      <c r="F17" s="4"/>
      <c r="G17" s="3"/>
      <c r="H17" s="5" t="str">
        <f t="shared" si="0"/>
        <v/>
      </c>
      <c r="I17" s="6" t="str">
        <f t="shared" si="1"/>
        <v/>
      </c>
      <c r="J17" s="4"/>
      <c r="K17" s="6" t="str">
        <f t="shared" si="2"/>
        <v/>
      </c>
      <c r="L17" s="6" t="str">
        <f t="shared" si="3"/>
        <v/>
      </c>
      <c r="M17" s="7" t="str">
        <f t="shared" si="4"/>
        <v/>
      </c>
      <c r="N17" s="7" t="str">
        <f t="shared" si="5"/>
        <v/>
      </c>
      <c r="O17" s="7" t="str">
        <f t="shared" si="6"/>
        <v/>
      </c>
      <c r="P17" s="8" t="str">
        <f t="shared" si="7"/>
        <v/>
      </c>
      <c r="Q17" s="5" t="str">
        <f t="shared" si="8"/>
        <v/>
      </c>
      <c r="R17" s="3"/>
      <c r="S17" s="3"/>
      <c r="T17" s="7" t="e">
        <f>IF(O17="",NA(),SUM($O$2:O17))</f>
        <v>#N/A</v>
      </c>
    </row>
    <row r="18" spans="1:20" x14ac:dyDescent="0.25">
      <c r="A18" s="2"/>
      <c r="B18" s="3"/>
      <c r="C18" s="3"/>
      <c r="D18" s="4"/>
      <c r="E18" s="4"/>
      <c r="F18" s="4"/>
      <c r="G18" s="3"/>
      <c r="H18" s="5" t="str">
        <f t="shared" si="0"/>
        <v/>
      </c>
      <c r="I18" s="6" t="str">
        <f t="shared" si="1"/>
        <v/>
      </c>
      <c r="J18" s="4"/>
      <c r="K18" s="6" t="str">
        <f t="shared" si="2"/>
        <v/>
      </c>
      <c r="L18" s="6" t="str">
        <f t="shared" si="3"/>
        <v/>
      </c>
      <c r="M18" s="7" t="str">
        <f t="shared" si="4"/>
        <v/>
      </c>
      <c r="N18" s="7" t="str">
        <f t="shared" si="5"/>
        <v/>
      </c>
      <c r="O18" s="7" t="str">
        <f t="shared" si="6"/>
        <v/>
      </c>
      <c r="P18" s="8" t="str">
        <f t="shared" si="7"/>
        <v/>
      </c>
      <c r="Q18" s="5" t="str">
        <f t="shared" si="8"/>
        <v/>
      </c>
      <c r="R18" s="3"/>
      <c r="S18" s="3"/>
      <c r="T18" s="7" t="e">
        <f>IF(O18="",NA(),SUM($O$2:O18))</f>
        <v>#N/A</v>
      </c>
    </row>
    <row r="19" spans="1:20" x14ac:dyDescent="0.25">
      <c r="A19" s="2"/>
      <c r="B19" s="3"/>
      <c r="C19" s="3"/>
      <c r="D19" s="4"/>
      <c r="E19" s="4"/>
      <c r="F19" s="4"/>
      <c r="G19" s="3"/>
      <c r="H19" s="5" t="str">
        <f t="shared" si="0"/>
        <v/>
      </c>
      <c r="I19" s="6" t="str">
        <f t="shared" si="1"/>
        <v/>
      </c>
      <c r="J19" s="4"/>
      <c r="K19" s="6" t="str">
        <f t="shared" si="2"/>
        <v/>
      </c>
      <c r="L19" s="6" t="str">
        <f t="shared" si="3"/>
        <v/>
      </c>
      <c r="M19" s="7" t="str">
        <f t="shared" si="4"/>
        <v/>
      </c>
      <c r="N19" s="7" t="str">
        <f t="shared" si="5"/>
        <v/>
      </c>
      <c r="O19" s="7" t="str">
        <f t="shared" si="6"/>
        <v/>
      </c>
      <c r="P19" s="8" t="str">
        <f t="shared" si="7"/>
        <v/>
      </c>
      <c r="Q19" s="5" t="str">
        <f t="shared" si="8"/>
        <v/>
      </c>
      <c r="R19" s="3"/>
      <c r="S19" s="3"/>
      <c r="T19" s="7" t="e">
        <f>IF(O19="",NA(),SUM($O$2:O19))</f>
        <v>#N/A</v>
      </c>
    </row>
    <row r="20" spans="1:20" x14ac:dyDescent="0.25">
      <c r="A20" s="2"/>
      <c r="B20" s="3"/>
      <c r="C20" s="3"/>
      <c r="D20" s="4"/>
      <c r="E20" s="4"/>
      <c r="F20" s="4"/>
      <c r="G20" s="3"/>
      <c r="H20" s="5" t="str">
        <f t="shared" si="0"/>
        <v/>
      </c>
      <c r="I20" s="6" t="str">
        <f t="shared" si="1"/>
        <v/>
      </c>
      <c r="J20" s="4"/>
      <c r="K20" s="6" t="str">
        <f t="shared" si="2"/>
        <v/>
      </c>
      <c r="L20" s="6" t="str">
        <f t="shared" si="3"/>
        <v/>
      </c>
      <c r="M20" s="7" t="str">
        <f t="shared" si="4"/>
        <v/>
      </c>
      <c r="N20" s="7" t="str">
        <f t="shared" si="5"/>
        <v/>
      </c>
      <c r="O20" s="7" t="str">
        <f t="shared" si="6"/>
        <v/>
      </c>
      <c r="P20" s="8" t="str">
        <f t="shared" si="7"/>
        <v/>
      </c>
      <c r="Q20" s="5" t="str">
        <f t="shared" si="8"/>
        <v/>
      </c>
      <c r="R20" s="3"/>
      <c r="S20" s="3"/>
      <c r="T20" s="7" t="e">
        <f>IF(O20="",NA(),SUM($O$2:O20))</f>
        <v>#N/A</v>
      </c>
    </row>
    <row r="21" spans="1:20" x14ac:dyDescent="0.25">
      <c r="A21" s="2"/>
      <c r="B21" s="3"/>
      <c r="C21" s="3"/>
      <c r="D21" s="4"/>
      <c r="E21" s="4"/>
      <c r="F21" s="4"/>
      <c r="G21" s="3"/>
      <c r="H21" s="5" t="str">
        <f t="shared" si="0"/>
        <v/>
      </c>
      <c r="I21" s="6" t="str">
        <f t="shared" si="1"/>
        <v/>
      </c>
      <c r="J21" s="4"/>
      <c r="K21" s="6" t="str">
        <f t="shared" si="2"/>
        <v/>
      </c>
      <c r="L21" s="6" t="str">
        <f t="shared" si="3"/>
        <v/>
      </c>
      <c r="M21" s="7" t="str">
        <f t="shared" si="4"/>
        <v/>
      </c>
      <c r="N21" s="7" t="str">
        <f t="shared" si="5"/>
        <v/>
      </c>
      <c r="O21" s="7" t="str">
        <f t="shared" si="6"/>
        <v/>
      </c>
      <c r="P21" s="8" t="str">
        <f t="shared" si="7"/>
        <v/>
      </c>
      <c r="Q21" s="5" t="str">
        <f t="shared" si="8"/>
        <v/>
      </c>
      <c r="R21" s="3"/>
      <c r="S21" s="3"/>
      <c r="T21" s="7" t="e">
        <f>IF(O21="",NA(),SUM($O$2:O21))</f>
        <v>#N/A</v>
      </c>
    </row>
    <row r="22" spans="1:20" x14ac:dyDescent="0.25">
      <c r="A22" s="2"/>
      <c r="B22" s="3"/>
      <c r="C22" s="3"/>
      <c r="D22" s="4"/>
      <c r="E22" s="4"/>
      <c r="F22" s="4"/>
      <c r="G22" s="3"/>
      <c r="H22" s="5" t="str">
        <f t="shared" si="0"/>
        <v/>
      </c>
      <c r="I22" s="6" t="str">
        <f t="shared" si="1"/>
        <v/>
      </c>
      <c r="J22" s="4"/>
      <c r="K22" s="6" t="str">
        <f t="shared" si="2"/>
        <v/>
      </c>
      <c r="L22" s="6" t="str">
        <f t="shared" si="3"/>
        <v/>
      </c>
      <c r="M22" s="7" t="str">
        <f t="shared" si="4"/>
        <v/>
      </c>
      <c r="N22" s="7" t="str">
        <f t="shared" si="5"/>
        <v/>
      </c>
      <c r="O22" s="7" t="str">
        <f t="shared" si="6"/>
        <v/>
      </c>
      <c r="P22" s="8" t="str">
        <f t="shared" si="7"/>
        <v/>
      </c>
      <c r="Q22" s="5" t="str">
        <f t="shared" si="8"/>
        <v/>
      </c>
      <c r="R22" s="3"/>
      <c r="S22" s="3"/>
      <c r="T22" s="7" t="e">
        <f>IF(O22="",NA(),SUM($O$2:O22))</f>
        <v>#N/A</v>
      </c>
    </row>
    <row r="23" spans="1:20" x14ac:dyDescent="0.25">
      <c r="A23" s="2"/>
      <c r="B23" s="3"/>
      <c r="C23" s="3"/>
      <c r="D23" s="4"/>
      <c r="E23" s="4"/>
      <c r="F23" s="4"/>
      <c r="G23" s="3"/>
      <c r="H23" s="5" t="str">
        <f t="shared" si="0"/>
        <v/>
      </c>
      <c r="I23" s="6" t="str">
        <f t="shared" si="1"/>
        <v/>
      </c>
      <c r="J23" s="4"/>
      <c r="K23" s="6" t="str">
        <f t="shared" si="2"/>
        <v/>
      </c>
      <c r="L23" s="6" t="str">
        <f t="shared" si="3"/>
        <v/>
      </c>
      <c r="M23" s="7" t="str">
        <f t="shared" si="4"/>
        <v/>
      </c>
      <c r="N23" s="7" t="str">
        <f t="shared" si="5"/>
        <v/>
      </c>
      <c r="O23" s="7" t="str">
        <f t="shared" si="6"/>
        <v/>
      </c>
      <c r="P23" s="8" t="str">
        <f t="shared" si="7"/>
        <v/>
      </c>
      <c r="Q23" s="5" t="str">
        <f t="shared" si="8"/>
        <v/>
      </c>
      <c r="R23" s="3"/>
      <c r="S23" s="3"/>
      <c r="T23" s="7" t="e">
        <f>IF(O23="",NA(),SUM($O$2:O23))</f>
        <v>#N/A</v>
      </c>
    </row>
    <row r="24" spans="1:20" x14ac:dyDescent="0.25">
      <c r="A24" s="2"/>
      <c r="B24" s="3"/>
      <c r="C24" s="3"/>
      <c r="D24" s="4"/>
      <c r="E24" s="4"/>
      <c r="F24" s="4"/>
      <c r="G24" s="3"/>
      <c r="H24" s="5" t="str">
        <f t="shared" si="0"/>
        <v/>
      </c>
      <c r="I24" s="6" t="str">
        <f t="shared" si="1"/>
        <v/>
      </c>
      <c r="J24" s="4"/>
      <c r="K24" s="6" t="str">
        <f t="shared" si="2"/>
        <v/>
      </c>
      <c r="L24" s="6" t="str">
        <f t="shared" si="3"/>
        <v/>
      </c>
      <c r="M24" s="7" t="str">
        <f t="shared" si="4"/>
        <v/>
      </c>
      <c r="N24" s="7" t="str">
        <f t="shared" si="5"/>
        <v/>
      </c>
      <c r="O24" s="7" t="str">
        <f t="shared" si="6"/>
        <v/>
      </c>
      <c r="P24" s="8" t="str">
        <f t="shared" si="7"/>
        <v/>
      </c>
      <c r="Q24" s="5" t="str">
        <f t="shared" si="8"/>
        <v/>
      </c>
      <c r="R24" s="3"/>
      <c r="S24" s="3"/>
      <c r="T24" s="7" t="e">
        <f>IF(O24="",NA(),SUM($O$2:O24))</f>
        <v>#N/A</v>
      </c>
    </row>
    <row r="25" spans="1:20" x14ac:dyDescent="0.25">
      <c r="A25" s="2"/>
      <c r="B25" s="3"/>
      <c r="C25" s="3"/>
      <c r="D25" s="4"/>
      <c r="E25" s="4"/>
      <c r="F25" s="4"/>
      <c r="G25" s="3"/>
      <c r="H25" s="5" t="str">
        <f t="shared" si="0"/>
        <v/>
      </c>
      <c r="I25" s="6" t="str">
        <f t="shared" si="1"/>
        <v/>
      </c>
      <c r="J25" s="4"/>
      <c r="K25" s="6" t="str">
        <f t="shared" si="2"/>
        <v/>
      </c>
      <c r="L25" s="6" t="str">
        <f t="shared" si="3"/>
        <v/>
      </c>
      <c r="M25" s="7" t="str">
        <f t="shared" si="4"/>
        <v/>
      </c>
      <c r="N25" s="7" t="str">
        <f t="shared" si="5"/>
        <v/>
      </c>
      <c r="O25" s="7" t="str">
        <f t="shared" si="6"/>
        <v/>
      </c>
      <c r="P25" s="8" t="str">
        <f t="shared" si="7"/>
        <v/>
      </c>
      <c r="Q25" s="5" t="str">
        <f t="shared" si="8"/>
        <v/>
      </c>
      <c r="R25" s="3"/>
      <c r="S25" s="3"/>
      <c r="T25" s="7" t="e">
        <f>IF(O25="",NA(),SUM($O$2:O25))</f>
        <v>#N/A</v>
      </c>
    </row>
    <row r="26" spans="1:20" x14ac:dyDescent="0.25">
      <c r="A26" s="2"/>
      <c r="B26" s="3"/>
      <c r="C26" s="3"/>
      <c r="D26" s="4"/>
      <c r="E26" s="4"/>
      <c r="F26" s="4"/>
      <c r="G26" s="3"/>
      <c r="H26" s="5" t="str">
        <f t="shared" si="0"/>
        <v/>
      </c>
      <c r="I26" s="6" t="str">
        <f t="shared" si="1"/>
        <v/>
      </c>
      <c r="J26" s="4"/>
      <c r="K26" s="6" t="str">
        <f t="shared" si="2"/>
        <v/>
      </c>
      <c r="L26" s="6" t="str">
        <f t="shared" si="3"/>
        <v/>
      </c>
      <c r="M26" s="7" t="str">
        <f t="shared" si="4"/>
        <v/>
      </c>
      <c r="N26" s="7" t="str">
        <f t="shared" si="5"/>
        <v/>
      </c>
      <c r="O26" s="7" t="str">
        <f t="shared" si="6"/>
        <v/>
      </c>
      <c r="P26" s="8" t="str">
        <f t="shared" si="7"/>
        <v/>
      </c>
      <c r="Q26" s="5" t="str">
        <f t="shared" si="8"/>
        <v/>
      </c>
      <c r="R26" s="3"/>
      <c r="S26" s="3"/>
      <c r="T26" s="7" t="e">
        <f>IF(O26="",NA(),SUM($O$2:O26))</f>
        <v>#N/A</v>
      </c>
    </row>
    <row r="27" spans="1:20" x14ac:dyDescent="0.25">
      <c r="A27" s="2"/>
      <c r="B27" s="3"/>
      <c r="C27" s="3"/>
      <c r="D27" s="4"/>
      <c r="E27" s="4"/>
      <c r="F27" s="4"/>
      <c r="G27" s="3"/>
      <c r="H27" s="5" t="str">
        <f t="shared" si="0"/>
        <v/>
      </c>
      <c r="I27" s="6" t="str">
        <f t="shared" si="1"/>
        <v/>
      </c>
      <c r="J27" s="4"/>
      <c r="K27" s="6" t="str">
        <f t="shared" si="2"/>
        <v/>
      </c>
      <c r="L27" s="6" t="str">
        <f t="shared" si="3"/>
        <v/>
      </c>
      <c r="M27" s="7" t="str">
        <f t="shared" si="4"/>
        <v/>
      </c>
      <c r="N27" s="7" t="str">
        <f t="shared" si="5"/>
        <v/>
      </c>
      <c r="O27" s="7" t="str">
        <f t="shared" si="6"/>
        <v/>
      </c>
      <c r="P27" s="8" t="str">
        <f t="shared" si="7"/>
        <v/>
      </c>
      <c r="Q27" s="5" t="str">
        <f t="shared" si="8"/>
        <v/>
      </c>
      <c r="R27" s="3"/>
      <c r="S27" s="3"/>
      <c r="T27" s="7" t="e">
        <f>IF(O27="",NA(),SUM($O$2:O27))</f>
        <v>#N/A</v>
      </c>
    </row>
    <row r="28" spans="1:20" x14ac:dyDescent="0.25">
      <c r="A28" s="2"/>
      <c r="B28" s="3"/>
      <c r="C28" s="3"/>
      <c r="D28" s="4"/>
      <c r="E28" s="4"/>
      <c r="F28" s="4"/>
      <c r="G28" s="3"/>
      <c r="H28" s="5" t="str">
        <f t="shared" si="0"/>
        <v/>
      </c>
      <c r="I28" s="6" t="str">
        <f t="shared" si="1"/>
        <v/>
      </c>
      <c r="J28" s="4"/>
      <c r="K28" s="6" t="str">
        <f t="shared" si="2"/>
        <v/>
      </c>
      <c r="L28" s="6" t="str">
        <f t="shared" si="3"/>
        <v/>
      </c>
      <c r="M28" s="7" t="str">
        <f t="shared" si="4"/>
        <v/>
      </c>
      <c r="N28" s="7" t="str">
        <f t="shared" si="5"/>
        <v/>
      </c>
      <c r="O28" s="7" t="str">
        <f t="shared" si="6"/>
        <v/>
      </c>
      <c r="P28" s="8" t="str">
        <f t="shared" si="7"/>
        <v/>
      </c>
      <c r="Q28" s="5" t="str">
        <f t="shared" si="8"/>
        <v/>
      </c>
      <c r="R28" s="3"/>
      <c r="S28" s="3"/>
      <c r="T28" s="7" t="e">
        <f>IF(O28="",NA(),SUM($O$2:O28))</f>
        <v>#N/A</v>
      </c>
    </row>
    <row r="29" spans="1:20" x14ac:dyDescent="0.25">
      <c r="A29" s="2"/>
      <c r="B29" s="3"/>
      <c r="C29" s="3"/>
      <c r="D29" s="4"/>
      <c r="E29" s="4"/>
      <c r="F29" s="4"/>
      <c r="G29" s="3"/>
      <c r="H29" s="5" t="str">
        <f t="shared" si="0"/>
        <v/>
      </c>
      <c r="I29" s="6" t="str">
        <f t="shared" si="1"/>
        <v/>
      </c>
      <c r="J29" s="4"/>
      <c r="K29" s="6" t="str">
        <f t="shared" si="2"/>
        <v/>
      </c>
      <c r="L29" s="6" t="str">
        <f t="shared" si="3"/>
        <v/>
      </c>
      <c r="M29" s="7" t="str">
        <f t="shared" si="4"/>
        <v/>
      </c>
      <c r="N29" s="7" t="str">
        <f t="shared" si="5"/>
        <v/>
      </c>
      <c r="O29" s="7" t="str">
        <f t="shared" si="6"/>
        <v/>
      </c>
      <c r="P29" s="8" t="str">
        <f t="shared" si="7"/>
        <v/>
      </c>
      <c r="Q29" s="5" t="str">
        <f t="shared" si="8"/>
        <v/>
      </c>
      <c r="R29" s="3"/>
      <c r="S29" s="3"/>
      <c r="T29" s="7" t="e">
        <f>IF(O29="",NA(),SUM($O$2:O29))</f>
        <v>#N/A</v>
      </c>
    </row>
    <row r="30" spans="1:20" x14ac:dyDescent="0.25">
      <c r="A30" s="2"/>
      <c r="B30" s="3"/>
      <c r="C30" s="3"/>
      <c r="D30" s="4"/>
      <c r="E30" s="4"/>
      <c r="F30" s="4"/>
      <c r="G30" s="3"/>
      <c r="H30" s="5" t="str">
        <f t="shared" si="0"/>
        <v/>
      </c>
      <c r="I30" s="6" t="str">
        <f t="shared" si="1"/>
        <v/>
      </c>
      <c r="J30" s="4"/>
      <c r="K30" s="6" t="str">
        <f t="shared" si="2"/>
        <v/>
      </c>
      <c r="L30" s="6" t="str">
        <f t="shared" si="3"/>
        <v/>
      </c>
      <c r="M30" s="7" t="str">
        <f t="shared" si="4"/>
        <v/>
      </c>
      <c r="N30" s="7" t="str">
        <f t="shared" si="5"/>
        <v/>
      </c>
      <c r="O30" s="7" t="str">
        <f t="shared" si="6"/>
        <v/>
      </c>
      <c r="P30" s="8" t="str">
        <f t="shared" si="7"/>
        <v/>
      </c>
      <c r="Q30" s="5" t="str">
        <f t="shared" si="8"/>
        <v/>
      </c>
      <c r="R30" s="3"/>
      <c r="S30" s="3"/>
      <c r="T30" s="7" t="e">
        <f>IF(O30="",NA(),SUM($O$2:O30))</f>
        <v>#N/A</v>
      </c>
    </row>
    <row r="31" spans="1:20" x14ac:dyDescent="0.25">
      <c r="A31" s="2"/>
      <c r="B31" s="3"/>
      <c r="C31" s="3"/>
      <c r="D31" s="4"/>
      <c r="E31" s="4"/>
      <c r="F31" s="4"/>
      <c r="G31" s="3"/>
      <c r="H31" s="5" t="str">
        <f t="shared" si="0"/>
        <v/>
      </c>
      <c r="I31" s="6" t="str">
        <f t="shared" si="1"/>
        <v/>
      </c>
      <c r="J31" s="4"/>
      <c r="K31" s="6" t="str">
        <f t="shared" si="2"/>
        <v/>
      </c>
      <c r="L31" s="6" t="str">
        <f t="shared" si="3"/>
        <v/>
      </c>
      <c r="M31" s="7" t="str">
        <f t="shared" si="4"/>
        <v/>
      </c>
      <c r="N31" s="7" t="str">
        <f t="shared" si="5"/>
        <v/>
      </c>
      <c r="O31" s="7" t="str">
        <f t="shared" si="6"/>
        <v/>
      </c>
      <c r="P31" s="8" t="str">
        <f t="shared" si="7"/>
        <v/>
      </c>
      <c r="Q31" s="5" t="str">
        <f t="shared" si="8"/>
        <v/>
      </c>
      <c r="R31" s="3"/>
      <c r="S31" s="3"/>
      <c r="T31" s="7" t="e">
        <f>IF(O31="",NA(),SUM($O$2:O31))</f>
        <v>#N/A</v>
      </c>
    </row>
    <row r="32" spans="1:20" x14ac:dyDescent="0.25">
      <c r="A32" s="2"/>
      <c r="B32" s="3"/>
      <c r="C32" s="3"/>
      <c r="D32" s="4"/>
      <c r="E32" s="4"/>
      <c r="F32" s="4"/>
      <c r="G32" s="3"/>
      <c r="H32" s="5" t="str">
        <f t="shared" si="0"/>
        <v/>
      </c>
      <c r="I32" s="6" t="str">
        <f t="shared" si="1"/>
        <v/>
      </c>
      <c r="J32" s="4"/>
      <c r="K32" s="6" t="str">
        <f t="shared" si="2"/>
        <v/>
      </c>
      <c r="L32" s="6" t="str">
        <f t="shared" si="3"/>
        <v/>
      </c>
      <c r="M32" s="7" t="str">
        <f t="shared" si="4"/>
        <v/>
      </c>
      <c r="N32" s="7" t="str">
        <f t="shared" si="5"/>
        <v/>
      </c>
      <c r="O32" s="7" t="str">
        <f t="shared" si="6"/>
        <v/>
      </c>
      <c r="P32" s="8" t="str">
        <f t="shared" si="7"/>
        <v/>
      </c>
      <c r="Q32" s="5" t="str">
        <f t="shared" si="8"/>
        <v/>
      </c>
      <c r="R32" s="3"/>
      <c r="S32" s="3"/>
      <c r="T32" s="7" t="e">
        <f>IF(O32="",NA(),SUM($O$2:O32))</f>
        <v>#N/A</v>
      </c>
    </row>
    <row r="33" spans="1:20" x14ac:dyDescent="0.25">
      <c r="A33" s="2"/>
      <c r="B33" s="3"/>
      <c r="C33" s="3"/>
      <c r="D33" s="4"/>
      <c r="E33" s="4"/>
      <c r="F33" s="4"/>
      <c r="G33" s="3"/>
      <c r="H33" s="5" t="str">
        <f t="shared" si="0"/>
        <v/>
      </c>
      <c r="I33" s="6" t="str">
        <f t="shared" si="1"/>
        <v/>
      </c>
      <c r="J33" s="4"/>
      <c r="K33" s="6" t="str">
        <f t="shared" si="2"/>
        <v/>
      </c>
      <c r="L33" s="6" t="str">
        <f t="shared" si="3"/>
        <v/>
      </c>
      <c r="M33" s="7" t="str">
        <f t="shared" si="4"/>
        <v/>
      </c>
      <c r="N33" s="7" t="str">
        <f t="shared" si="5"/>
        <v/>
      </c>
      <c r="O33" s="7" t="str">
        <f t="shared" si="6"/>
        <v/>
      </c>
      <c r="P33" s="8" t="str">
        <f t="shared" si="7"/>
        <v/>
      </c>
      <c r="Q33" s="5" t="str">
        <f t="shared" si="8"/>
        <v/>
      </c>
      <c r="R33" s="3"/>
      <c r="S33" s="3"/>
      <c r="T33" s="7" t="e">
        <f>IF(O33="",NA(),SUM($O$2:O33))</f>
        <v>#N/A</v>
      </c>
    </row>
    <row r="34" spans="1:20" x14ac:dyDescent="0.25">
      <c r="A34" s="2"/>
      <c r="B34" s="3"/>
      <c r="C34" s="3"/>
      <c r="D34" s="4"/>
      <c r="E34" s="4"/>
      <c r="F34" s="4"/>
      <c r="G34" s="3"/>
      <c r="H34" s="5" t="str">
        <f t="shared" ref="H34:H65" si="9">IF(OR(D34="",E34=""),"",ABS(D34-E34))</f>
        <v/>
      </c>
      <c r="I34" s="6" t="str">
        <f t="shared" ref="I34:I65" si="10">IF(OR(H34="",G34=""),"",H34*G34)</f>
        <v/>
      </c>
      <c r="J34" s="4"/>
      <c r="K34" s="6" t="str">
        <f t="shared" ref="K34:K65" si="11">IF(J34="","",IF(UPPER(C34)="BUY",D34*G34,J34*G34))</f>
        <v/>
      </c>
      <c r="L34" s="6" t="str">
        <f t="shared" ref="L34:L65" si="12">IF(J34="","",IF(UPPER(C34)="BUY",J34*G34,D34*G34))</f>
        <v/>
      </c>
      <c r="M34" s="7" t="str">
        <f t="shared" ref="M34:M65" si="13">IF(J34="","",IF(UPPER(C34)="BUY",(J34-D34)*G34,(D34-J34)*G34))</f>
        <v/>
      </c>
      <c r="N34" s="7" t="str">
        <f t="shared" ref="N34:N65" si="14">IF(J34="","",MIN(0.0003*K34,20)+MIN(0.0003*L34,20)+0.00025*L34+0.0000297*(K34+L34)+0.000001*(K34+L34)+0.00003*K34+0.18*(MIN(0.0003*K34,20)+MIN(0.0003*L34,20)+0.0000297*(K34+L34)+0.000001*(K34+L34)))</f>
        <v/>
      </c>
      <c r="O34" s="7" t="str">
        <f t="shared" ref="O34:O65" si="15">IF(J34="","",M34-N34)</f>
        <v/>
      </c>
      <c r="P34" s="8" t="str">
        <f t="shared" ref="P34:P65" si="16">IF(J34="","",IF(O34&gt;0,"WIN",IF(O34&lt;0,"LOSS","BE")))</f>
        <v/>
      </c>
      <c r="Q34" s="5" t="str">
        <f t="shared" ref="Q34:Q65" si="17">IF(OR(J34="",I34="",I34=0),"",O34/I34)</f>
        <v/>
      </c>
      <c r="R34" s="3"/>
      <c r="S34" s="3"/>
      <c r="T34" s="7" t="e">
        <f>IF(O34="",NA(),SUM($O$2:O34))</f>
        <v>#N/A</v>
      </c>
    </row>
    <row r="35" spans="1:20" x14ac:dyDescent="0.25">
      <c r="A35" s="2"/>
      <c r="B35" s="3"/>
      <c r="C35" s="3"/>
      <c r="D35" s="4"/>
      <c r="E35" s="4"/>
      <c r="F35" s="4"/>
      <c r="G35" s="3"/>
      <c r="H35" s="5" t="str">
        <f t="shared" si="9"/>
        <v/>
      </c>
      <c r="I35" s="6" t="str">
        <f t="shared" si="10"/>
        <v/>
      </c>
      <c r="J35" s="4"/>
      <c r="K35" s="6" t="str">
        <f t="shared" si="11"/>
        <v/>
      </c>
      <c r="L35" s="6" t="str">
        <f t="shared" si="12"/>
        <v/>
      </c>
      <c r="M35" s="7" t="str">
        <f t="shared" si="13"/>
        <v/>
      </c>
      <c r="N35" s="7" t="str">
        <f t="shared" si="14"/>
        <v/>
      </c>
      <c r="O35" s="7" t="str">
        <f t="shared" si="15"/>
        <v/>
      </c>
      <c r="P35" s="8" t="str">
        <f t="shared" si="16"/>
        <v/>
      </c>
      <c r="Q35" s="5" t="str">
        <f t="shared" si="17"/>
        <v/>
      </c>
      <c r="R35" s="3"/>
      <c r="S35" s="3"/>
      <c r="T35" s="7" t="e">
        <f>IF(O35="",NA(),SUM($O$2:O35))</f>
        <v>#N/A</v>
      </c>
    </row>
    <row r="36" spans="1:20" x14ac:dyDescent="0.25">
      <c r="A36" s="2"/>
      <c r="B36" s="3"/>
      <c r="C36" s="3"/>
      <c r="D36" s="4"/>
      <c r="E36" s="4"/>
      <c r="F36" s="4"/>
      <c r="G36" s="3"/>
      <c r="H36" s="5" t="str">
        <f t="shared" si="9"/>
        <v/>
      </c>
      <c r="I36" s="6" t="str">
        <f t="shared" si="10"/>
        <v/>
      </c>
      <c r="J36" s="4"/>
      <c r="K36" s="6" t="str">
        <f t="shared" si="11"/>
        <v/>
      </c>
      <c r="L36" s="6" t="str">
        <f t="shared" si="12"/>
        <v/>
      </c>
      <c r="M36" s="7" t="str">
        <f t="shared" si="13"/>
        <v/>
      </c>
      <c r="N36" s="7" t="str">
        <f t="shared" si="14"/>
        <v/>
      </c>
      <c r="O36" s="7" t="str">
        <f t="shared" si="15"/>
        <v/>
      </c>
      <c r="P36" s="8" t="str">
        <f t="shared" si="16"/>
        <v/>
      </c>
      <c r="Q36" s="5" t="str">
        <f t="shared" si="17"/>
        <v/>
      </c>
      <c r="R36" s="3"/>
      <c r="S36" s="3"/>
      <c r="T36" s="7" t="e">
        <f>IF(O36="",NA(),SUM($O$2:O36))</f>
        <v>#N/A</v>
      </c>
    </row>
    <row r="37" spans="1:20" x14ac:dyDescent="0.25">
      <c r="A37" s="2"/>
      <c r="B37" s="3"/>
      <c r="C37" s="3"/>
      <c r="D37" s="4"/>
      <c r="E37" s="4"/>
      <c r="F37" s="4"/>
      <c r="G37" s="3"/>
      <c r="H37" s="5" t="str">
        <f t="shared" si="9"/>
        <v/>
      </c>
      <c r="I37" s="6" t="str">
        <f t="shared" si="10"/>
        <v/>
      </c>
      <c r="J37" s="4"/>
      <c r="K37" s="6" t="str">
        <f t="shared" si="11"/>
        <v/>
      </c>
      <c r="L37" s="6" t="str">
        <f t="shared" si="12"/>
        <v/>
      </c>
      <c r="M37" s="7" t="str">
        <f t="shared" si="13"/>
        <v/>
      </c>
      <c r="N37" s="7" t="str">
        <f t="shared" si="14"/>
        <v/>
      </c>
      <c r="O37" s="7" t="str">
        <f t="shared" si="15"/>
        <v/>
      </c>
      <c r="P37" s="8" t="str">
        <f t="shared" si="16"/>
        <v/>
      </c>
      <c r="Q37" s="5" t="str">
        <f t="shared" si="17"/>
        <v/>
      </c>
      <c r="R37" s="3"/>
      <c r="S37" s="3"/>
      <c r="T37" s="7" t="e">
        <f>IF(O37="",NA(),SUM($O$2:O37))</f>
        <v>#N/A</v>
      </c>
    </row>
    <row r="38" spans="1:20" x14ac:dyDescent="0.25">
      <c r="A38" s="2"/>
      <c r="B38" s="3"/>
      <c r="C38" s="3"/>
      <c r="D38" s="4"/>
      <c r="E38" s="4"/>
      <c r="F38" s="4"/>
      <c r="G38" s="3"/>
      <c r="H38" s="5" t="str">
        <f t="shared" si="9"/>
        <v/>
      </c>
      <c r="I38" s="6" t="str">
        <f t="shared" si="10"/>
        <v/>
      </c>
      <c r="J38" s="4"/>
      <c r="K38" s="6" t="str">
        <f t="shared" si="11"/>
        <v/>
      </c>
      <c r="L38" s="6" t="str">
        <f t="shared" si="12"/>
        <v/>
      </c>
      <c r="M38" s="7" t="str">
        <f t="shared" si="13"/>
        <v/>
      </c>
      <c r="N38" s="7" t="str">
        <f t="shared" si="14"/>
        <v/>
      </c>
      <c r="O38" s="7" t="str">
        <f t="shared" si="15"/>
        <v/>
      </c>
      <c r="P38" s="8" t="str">
        <f t="shared" si="16"/>
        <v/>
      </c>
      <c r="Q38" s="5" t="str">
        <f t="shared" si="17"/>
        <v/>
      </c>
      <c r="R38" s="3"/>
      <c r="S38" s="3"/>
      <c r="T38" s="7" t="e">
        <f>IF(O38="",NA(),SUM($O$2:O38))</f>
        <v>#N/A</v>
      </c>
    </row>
    <row r="39" spans="1:20" x14ac:dyDescent="0.25">
      <c r="A39" s="2"/>
      <c r="B39" s="3"/>
      <c r="C39" s="3"/>
      <c r="D39" s="4"/>
      <c r="E39" s="4"/>
      <c r="F39" s="4"/>
      <c r="G39" s="3"/>
      <c r="H39" s="5" t="str">
        <f t="shared" si="9"/>
        <v/>
      </c>
      <c r="I39" s="6" t="str">
        <f t="shared" si="10"/>
        <v/>
      </c>
      <c r="J39" s="4"/>
      <c r="K39" s="6" t="str">
        <f t="shared" si="11"/>
        <v/>
      </c>
      <c r="L39" s="6" t="str">
        <f t="shared" si="12"/>
        <v/>
      </c>
      <c r="M39" s="7" t="str">
        <f t="shared" si="13"/>
        <v/>
      </c>
      <c r="N39" s="7" t="str">
        <f t="shared" si="14"/>
        <v/>
      </c>
      <c r="O39" s="7" t="str">
        <f t="shared" si="15"/>
        <v/>
      </c>
      <c r="P39" s="8" t="str">
        <f t="shared" si="16"/>
        <v/>
      </c>
      <c r="Q39" s="5" t="str">
        <f t="shared" si="17"/>
        <v/>
      </c>
      <c r="R39" s="3"/>
      <c r="S39" s="3"/>
      <c r="T39" s="7" t="e">
        <f>IF(O39="",NA(),SUM($O$2:O39))</f>
        <v>#N/A</v>
      </c>
    </row>
    <row r="40" spans="1:20" x14ac:dyDescent="0.25">
      <c r="A40" s="2"/>
      <c r="B40" s="3"/>
      <c r="C40" s="3"/>
      <c r="D40" s="4"/>
      <c r="E40" s="4"/>
      <c r="F40" s="4"/>
      <c r="G40" s="3"/>
      <c r="H40" s="5" t="str">
        <f t="shared" si="9"/>
        <v/>
      </c>
      <c r="I40" s="6" t="str">
        <f t="shared" si="10"/>
        <v/>
      </c>
      <c r="J40" s="4"/>
      <c r="K40" s="6" t="str">
        <f t="shared" si="11"/>
        <v/>
      </c>
      <c r="L40" s="6" t="str">
        <f t="shared" si="12"/>
        <v/>
      </c>
      <c r="M40" s="7" t="str">
        <f t="shared" si="13"/>
        <v/>
      </c>
      <c r="N40" s="7" t="str">
        <f t="shared" si="14"/>
        <v/>
      </c>
      <c r="O40" s="7" t="str">
        <f t="shared" si="15"/>
        <v/>
      </c>
      <c r="P40" s="8" t="str">
        <f t="shared" si="16"/>
        <v/>
      </c>
      <c r="Q40" s="5" t="str">
        <f t="shared" si="17"/>
        <v/>
      </c>
      <c r="R40" s="3"/>
      <c r="S40" s="3"/>
      <c r="T40" s="7" t="e">
        <f>IF(O40="",NA(),SUM($O$2:O40))</f>
        <v>#N/A</v>
      </c>
    </row>
    <row r="41" spans="1:20" x14ac:dyDescent="0.25">
      <c r="A41" s="2"/>
      <c r="B41" s="3"/>
      <c r="C41" s="3"/>
      <c r="D41" s="4"/>
      <c r="E41" s="4"/>
      <c r="F41" s="4"/>
      <c r="G41" s="3"/>
      <c r="H41" s="5" t="str">
        <f t="shared" si="9"/>
        <v/>
      </c>
      <c r="I41" s="6" t="str">
        <f t="shared" si="10"/>
        <v/>
      </c>
      <c r="J41" s="4"/>
      <c r="K41" s="6" t="str">
        <f t="shared" si="11"/>
        <v/>
      </c>
      <c r="L41" s="6" t="str">
        <f t="shared" si="12"/>
        <v/>
      </c>
      <c r="M41" s="7" t="str">
        <f t="shared" si="13"/>
        <v/>
      </c>
      <c r="N41" s="7" t="str">
        <f t="shared" si="14"/>
        <v/>
      </c>
      <c r="O41" s="7" t="str">
        <f t="shared" si="15"/>
        <v/>
      </c>
      <c r="P41" s="8" t="str">
        <f t="shared" si="16"/>
        <v/>
      </c>
      <c r="Q41" s="5" t="str">
        <f t="shared" si="17"/>
        <v/>
      </c>
      <c r="R41" s="3"/>
      <c r="S41" s="3"/>
      <c r="T41" s="7" t="e">
        <f>IF(O41="",NA(),SUM($O$2:O41))</f>
        <v>#N/A</v>
      </c>
    </row>
    <row r="42" spans="1:20" x14ac:dyDescent="0.25">
      <c r="A42" s="2"/>
      <c r="B42" s="3"/>
      <c r="C42" s="3"/>
      <c r="D42" s="4"/>
      <c r="E42" s="4"/>
      <c r="F42" s="4"/>
      <c r="G42" s="3"/>
      <c r="H42" s="5" t="str">
        <f t="shared" si="9"/>
        <v/>
      </c>
      <c r="I42" s="6" t="str">
        <f t="shared" si="10"/>
        <v/>
      </c>
      <c r="J42" s="4"/>
      <c r="K42" s="6" t="str">
        <f t="shared" si="11"/>
        <v/>
      </c>
      <c r="L42" s="6" t="str">
        <f t="shared" si="12"/>
        <v/>
      </c>
      <c r="M42" s="7" t="str">
        <f t="shared" si="13"/>
        <v/>
      </c>
      <c r="N42" s="7" t="str">
        <f t="shared" si="14"/>
        <v/>
      </c>
      <c r="O42" s="7" t="str">
        <f t="shared" si="15"/>
        <v/>
      </c>
      <c r="P42" s="8" t="str">
        <f t="shared" si="16"/>
        <v/>
      </c>
      <c r="Q42" s="5" t="str">
        <f t="shared" si="17"/>
        <v/>
      </c>
      <c r="R42" s="3"/>
      <c r="S42" s="3"/>
      <c r="T42" s="7" t="e">
        <f>IF(O42="",NA(),SUM($O$2:O42))</f>
        <v>#N/A</v>
      </c>
    </row>
    <row r="43" spans="1:20" x14ac:dyDescent="0.25">
      <c r="A43" s="2"/>
      <c r="B43" s="3"/>
      <c r="C43" s="3"/>
      <c r="D43" s="4"/>
      <c r="E43" s="4"/>
      <c r="F43" s="4"/>
      <c r="G43" s="3"/>
      <c r="H43" s="5" t="str">
        <f t="shared" si="9"/>
        <v/>
      </c>
      <c r="I43" s="6" t="str">
        <f t="shared" si="10"/>
        <v/>
      </c>
      <c r="J43" s="4"/>
      <c r="K43" s="6" t="str">
        <f t="shared" si="11"/>
        <v/>
      </c>
      <c r="L43" s="6" t="str">
        <f t="shared" si="12"/>
        <v/>
      </c>
      <c r="M43" s="7" t="str">
        <f t="shared" si="13"/>
        <v/>
      </c>
      <c r="N43" s="7" t="str">
        <f t="shared" si="14"/>
        <v/>
      </c>
      <c r="O43" s="7" t="str">
        <f t="shared" si="15"/>
        <v/>
      </c>
      <c r="P43" s="8" t="str">
        <f t="shared" si="16"/>
        <v/>
      </c>
      <c r="Q43" s="5" t="str">
        <f t="shared" si="17"/>
        <v/>
      </c>
      <c r="R43" s="3"/>
      <c r="S43" s="3"/>
      <c r="T43" s="7" t="e">
        <f>IF(O43="",NA(),SUM($O$2:O43))</f>
        <v>#N/A</v>
      </c>
    </row>
    <row r="44" spans="1:20" x14ac:dyDescent="0.25">
      <c r="A44" s="2"/>
      <c r="B44" s="3"/>
      <c r="C44" s="3"/>
      <c r="D44" s="4"/>
      <c r="E44" s="4"/>
      <c r="F44" s="4"/>
      <c r="G44" s="3"/>
      <c r="H44" s="5" t="str">
        <f t="shared" si="9"/>
        <v/>
      </c>
      <c r="I44" s="6" t="str">
        <f t="shared" si="10"/>
        <v/>
      </c>
      <c r="J44" s="4"/>
      <c r="K44" s="6" t="str">
        <f t="shared" si="11"/>
        <v/>
      </c>
      <c r="L44" s="6" t="str">
        <f t="shared" si="12"/>
        <v/>
      </c>
      <c r="M44" s="7" t="str">
        <f t="shared" si="13"/>
        <v/>
      </c>
      <c r="N44" s="7" t="str">
        <f t="shared" si="14"/>
        <v/>
      </c>
      <c r="O44" s="7" t="str">
        <f t="shared" si="15"/>
        <v/>
      </c>
      <c r="P44" s="8" t="str">
        <f t="shared" si="16"/>
        <v/>
      </c>
      <c r="Q44" s="5" t="str">
        <f t="shared" si="17"/>
        <v/>
      </c>
      <c r="R44" s="3"/>
      <c r="S44" s="3"/>
      <c r="T44" s="7" t="e">
        <f>IF(O44="",NA(),SUM($O$2:O44))</f>
        <v>#N/A</v>
      </c>
    </row>
    <row r="45" spans="1:20" x14ac:dyDescent="0.25">
      <c r="A45" s="2"/>
      <c r="B45" s="3"/>
      <c r="C45" s="3"/>
      <c r="D45" s="4"/>
      <c r="E45" s="4"/>
      <c r="F45" s="4"/>
      <c r="G45" s="3"/>
      <c r="H45" s="5" t="str">
        <f t="shared" si="9"/>
        <v/>
      </c>
      <c r="I45" s="6" t="str">
        <f t="shared" si="10"/>
        <v/>
      </c>
      <c r="J45" s="4"/>
      <c r="K45" s="6" t="str">
        <f t="shared" si="11"/>
        <v/>
      </c>
      <c r="L45" s="6" t="str">
        <f t="shared" si="12"/>
        <v/>
      </c>
      <c r="M45" s="7" t="str">
        <f t="shared" si="13"/>
        <v/>
      </c>
      <c r="N45" s="7" t="str">
        <f t="shared" si="14"/>
        <v/>
      </c>
      <c r="O45" s="7" t="str">
        <f t="shared" si="15"/>
        <v/>
      </c>
      <c r="P45" s="8" t="str">
        <f t="shared" si="16"/>
        <v/>
      </c>
      <c r="Q45" s="5" t="str">
        <f t="shared" si="17"/>
        <v/>
      </c>
      <c r="R45" s="3"/>
      <c r="S45" s="3"/>
      <c r="T45" s="7" t="e">
        <f>IF(O45="",NA(),SUM($O$2:O45))</f>
        <v>#N/A</v>
      </c>
    </row>
    <row r="46" spans="1:20" x14ac:dyDescent="0.25">
      <c r="A46" s="2"/>
      <c r="B46" s="3"/>
      <c r="C46" s="3"/>
      <c r="D46" s="4"/>
      <c r="E46" s="4"/>
      <c r="F46" s="4"/>
      <c r="G46" s="3"/>
      <c r="H46" s="5" t="str">
        <f t="shared" si="9"/>
        <v/>
      </c>
      <c r="I46" s="6" t="str">
        <f t="shared" si="10"/>
        <v/>
      </c>
      <c r="J46" s="4"/>
      <c r="K46" s="6" t="str">
        <f t="shared" si="11"/>
        <v/>
      </c>
      <c r="L46" s="6" t="str">
        <f t="shared" si="12"/>
        <v/>
      </c>
      <c r="M46" s="7" t="str">
        <f t="shared" si="13"/>
        <v/>
      </c>
      <c r="N46" s="7" t="str">
        <f t="shared" si="14"/>
        <v/>
      </c>
      <c r="O46" s="7" t="str">
        <f t="shared" si="15"/>
        <v/>
      </c>
      <c r="P46" s="8" t="str">
        <f t="shared" si="16"/>
        <v/>
      </c>
      <c r="Q46" s="5" t="str">
        <f t="shared" si="17"/>
        <v/>
      </c>
      <c r="R46" s="3"/>
      <c r="S46" s="3"/>
      <c r="T46" s="7" t="e">
        <f>IF(O46="",NA(),SUM($O$2:O46))</f>
        <v>#N/A</v>
      </c>
    </row>
    <row r="47" spans="1:20" x14ac:dyDescent="0.25">
      <c r="A47" s="2"/>
      <c r="B47" s="3"/>
      <c r="C47" s="3"/>
      <c r="D47" s="4"/>
      <c r="E47" s="4"/>
      <c r="F47" s="4"/>
      <c r="G47" s="3"/>
      <c r="H47" s="5" t="str">
        <f t="shared" si="9"/>
        <v/>
      </c>
      <c r="I47" s="6" t="str">
        <f t="shared" si="10"/>
        <v/>
      </c>
      <c r="J47" s="4"/>
      <c r="K47" s="6" t="str">
        <f t="shared" si="11"/>
        <v/>
      </c>
      <c r="L47" s="6" t="str">
        <f t="shared" si="12"/>
        <v/>
      </c>
      <c r="M47" s="7" t="str">
        <f t="shared" si="13"/>
        <v/>
      </c>
      <c r="N47" s="7" t="str">
        <f t="shared" si="14"/>
        <v/>
      </c>
      <c r="O47" s="7" t="str">
        <f t="shared" si="15"/>
        <v/>
      </c>
      <c r="P47" s="8" t="str">
        <f t="shared" si="16"/>
        <v/>
      </c>
      <c r="Q47" s="5" t="str">
        <f t="shared" si="17"/>
        <v/>
      </c>
      <c r="R47" s="3"/>
      <c r="S47" s="3"/>
      <c r="T47" s="7" t="e">
        <f>IF(O47="",NA(),SUM($O$2:O47))</f>
        <v>#N/A</v>
      </c>
    </row>
    <row r="48" spans="1:20" x14ac:dyDescent="0.25">
      <c r="A48" s="2"/>
      <c r="B48" s="3"/>
      <c r="C48" s="3"/>
      <c r="D48" s="4"/>
      <c r="E48" s="4"/>
      <c r="F48" s="4"/>
      <c r="G48" s="3"/>
      <c r="H48" s="5" t="str">
        <f t="shared" si="9"/>
        <v/>
      </c>
      <c r="I48" s="6" t="str">
        <f t="shared" si="10"/>
        <v/>
      </c>
      <c r="J48" s="4"/>
      <c r="K48" s="6" t="str">
        <f t="shared" si="11"/>
        <v/>
      </c>
      <c r="L48" s="6" t="str">
        <f t="shared" si="12"/>
        <v/>
      </c>
      <c r="M48" s="7" t="str">
        <f t="shared" si="13"/>
        <v/>
      </c>
      <c r="N48" s="7" t="str">
        <f t="shared" si="14"/>
        <v/>
      </c>
      <c r="O48" s="7" t="str">
        <f t="shared" si="15"/>
        <v/>
      </c>
      <c r="P48" s="8" t="str">
        <f t="shared" si="16"/>
        <v/>
      </c>
      <c r="Q48" s="5" t="str">
        <f t="shared" si="17"/>
        <v/>
      </c>
      <c r="R48" s="3"/>
      <c r="S48" s="3"/>
      <c r="T48" s="7" t="e">
        <f>IF(O48="",NA(),SUM($O$2:O48))</f>
        <v>#N/A</v>
      </c>
    </row>
    <row r="49" spans="1:20" x14ac:dyDescent="0.25">
      <c r="A49" s="2"/>
      <c r="B49" s="3"/>
      <c r="C49" s="3"/>
      <c r="D49" s="4"/>
      <c r="E49" s="4"/>
      <c r="F49" s="4"/>
      <c r="G49" s="3"/>
      <c r="H49" s="5" t="str">
        <f t="shared" si="9"/>
        <v/>
      </c>
      <c r="I49" s="6" t="str">
        <f t="shared" si="10"/>
        <v/>
      </c>
      <c r="J49" s="4"/>
      <c r="K49" s="6" t="str">
        <f t="shared" si="11"/>
        <v/>
      </c>
      <c r="L49" s="6" t="str">
        <f t="shared" si="12"/>
        <v/>
      </c>
      <c r="M49" s="7" t="str">
        <f t="shared" si="13"/>
        <v/>
      </c>
      <c r="N49" s="7" t="str">
        <f t="shared" si="14"/>
        <v/>
      </c>
      <c r="O49" s="7" t="str">
        <f t="shared" si="15"/>
        <v/>
      </c>
      <c r="P49" s="8" t="str">
        <f t="shared" si="16"/>
        <v/>
      </c>
      <c r="Q49" s="5" t="str">
        <f t="shared" si="17"/>
        <v/>
      </c>
      <c r="R49" s="3"/>
      <c r="S49" s="3"/>
      <c r="T49" s="7" t="e">
        <f>IF(O49="",NA(),SUM($O$2:O49))</f>
        <v>#N/A</v>
      </c>
    </row>
    <row r="50" spans="1:20" x14ac:dyDescent="0.25">
      <c r="A50" s="2"/>
      <c r="B50" s="3"/>
      <c r="C50" s="3"/>
      <c r="D50" s="4"/>
      <c r="E50" s="4"/>
      <c r="F50" s="4"/>
      <c r="G50" s="3"/>
      <c r="H50" s="5" t="str">
        <f t="shared" si="9"/>
        <v/>
      </c>
      <c r="I50" s="6" t="str">
        <f t="shared" si="10"/>
        <v/>
      </c>
      <c r="J50" s="4"/>
      <c r="K50" s="6" t="str">
        <f t="shared" si="11"/>
        <v/>
      </c>
      <c r="L50" s="6" t="str">
        <f t="shared" si="12"/>
        <v/>
      </c>
      <c r="M50" s="7" t="str">
        <f t="shared" si="13"/>
        <v/>
      </c>
      <c r="N50" s="7" t="str">
        <f t="shared" si="14"/>
        <v/>
      </c>
      <c r="O50" s="7" t="str">
        <f t="shared" si="15"/>
        <v/>
      </c>
      <c r="P50" s="8" t="str">
        <f t="shared" si="16"/>
        <v/>
      </c>
      <c r="Q50" s="5" t="str">
        <f t="shared" si="17"/>
        <v/>
      </c>
      <c r="R50" s="3"/>
      <c r="S50" s="3"/>
      <c r="T50" s="7" t="e">
        <f>IF(O50="",NA(),SUM($O$2:O50))</f>
        <v>#N/A</v>
      </c>
    </row>
    <row r="51" spans="1:20" x14ac:dyDescent="0.25">
      <c r="A51" s="2"/>
      <c r="B51" s="3"/>
      <c r="C51" s="3"/>
      <c r="D51" s="4"/>
      <c r="E51" s="4"/>
      <c r="F51" s="4"/>
      <c r="G51" s="3"/>
      <c r="H51" s="5" t="str">
        <f t="shared" si="9"/>
        <v/>
      </c>
      <c r="I51" s="6" t="str">
        <f t="shared" si="10"/>
        <v/>
      </c>
      <c r="J51" s="4"/>
      <c r="K51" s="6" t="str">
        <f t="shared" si="11"/>
        <v/>
      </c>
      <c r="L51" s="6" t="str">
        <f t="shared" si="12"/>
        <v/>
      </c>
      <c r="M51" s="7" t="str">
        <f t="shared" si="13"/>
        <v/>
      </c>
      <c r="N51" s="7" t="str">
        <f t="shared" si="14"/>
        <v/>
      </c>
      <c r="O51" s="7" t="str">
        <f t="shared" si="15"/>
        <v/>
      </c>
      <c r="P51" s="8" t="str">
        <f t="shared" si="16"/>
        <v/>
      </c>
      <c r="Q51" s="5" t="str">
        <f t="shared" si="17"/>
        <v/>
      </c>
      <c r="R51" s="3"/>
      <c r="S51" s="3"/>
      <c r="T51" s="7" t="e">
        <f>IF(O51="",NA(),SUM($O$2:O51))</f>
        <v>#N/A</v>
      </c>
    </row>
    <row r="52" spans="1:20" x14ac:dyDescent="0.25">
      <c r="A52" s="2"/>
      <c r="B52" s="3"/>
      <c r="C52" s="3"/>
      <c r="D52" s="4"/>
      <c r="E52" s="4"/>
      <c r="F52" s="4"/>
      <c r="G52" s="3"/>
      <c r="H52" s="5" t="str">
        <f t="shared" si="9"/>
        <v/>
      </c>
      <c r="I52" s="6" t="str">
        <f t="shared" si="10"/>
        <v/>
      </c>
      <c r="J52" s="4"/>
      <c r="K52" s="6" t="str">
        <f t="shared" si="11"/>
        <v/>
      </c>
      <c r="L52" s="6" t="str">
        <f t="shared" si="12"/>
        <v/>
      </c>
      <c r="M52" s="7" t="str">
        <f t="shared" si="13"/>
        <v/>
      </c>
      <c r="N52" s="7" t="str">
        <f t="shared" si="14"/>
        <v/>
      </c>
      <c r="O52" s="7" t="str">
        <f t="shared" si="15"/>
        <v/>
      </c>
      <c r="P52" s="8" t="str">
        <f t="shared" si="16"/>
        <v/>
      </c>
      <c r="Q52" s="5" t="str">
        <f t="shared" si="17"/>
        <v/>
      </c>
      <c r="R52" s="3"/>
      <c r="S52" s="3"/>
      <c r="T52" s="7" t="e">
        <f>IF(O52="",NA(),SUM($O$2:O52))</f>
        <v>#N/A</v>
      </c>
    </row>
    <row r="53" spans="1:20" x14ac:dyDescent="0.25">
      <c r="A53" s="2"/>
      <c r="B53" s="3"/>
      <c r="C53" s="3"/>
      <c r="D53" s="4"/>
      <c r="E53" s="4"/>
      <c r="F53" s="4"/>
      <c r="G53" s="3"/>
      <c r="H53" s="5" t="str">
        <f t="shared" si="9"/>
        <v/>
      </c>
      <c r="I53" s="6" t="str">
        <f t="shared" si="10"/>
        <v/>
      </c>
      <c r="J53" s="4"/>
      <c r="K53" s="6" t="str">
        <f t="shared" si="11"/>
        <v/>
      </c>
      <c r="L53" s="6" t="str">
        <f t="shared" si="12"/>
        <v/>
      </c>
      <c r="M53" s="7" t="str">
        <f t="shared" si="13"/>
        <v/>
      </c>
      <c r="N53" s="7" t="str">
        <f t="shared" si="14"/>
        <v/>
      </c>
      <c r="O53" s="7" t="str">
        <f t="shared" si="15"/>
        <v/>
      </c>
      <c r="P53" s="8" t="str">
        <f t="shared" si="16"/>
        <v/>
      </c>
      <c r="Q53" s="5" t="str">
        <f t="shared" si="17"/>
        <v/>
      </c>
      <c r="R53" s="3"/>
      <c r="S53" s="3"/>
      <c r="T53" s="7" t="e">
        <f>IF(O53="",NA(),SUM($O$2:O53))</f>
        <v>#N/A</v>
      </c>
    </row>
    <row r="54" spans="1:20" x14ac:dyDescent="0.25">
      <c r="A54" s="2"/>
      <c r="B54" s="3"/>
      <c r="C54" s="3"/>
      <c r="D54" s="4"/>
      <c r="E54" s="4"/>
      <c r="F54" s="4"/>
      <c r="G54" s="3"/>
      <c r="H54" s="5" t="str">
        <f t="shared" si="9"/>
        <v/>
      </c>
      <c r="I54" s="6" t="str">
        <f t="shared" si="10"/>
        <v/>
      </c>
      <c r="J54" s="4"/>
      <c r="K54" s="6" t="str">
        <f t="shared" si="11"/>
        <v/>
      </c>
      <c r="L54" s="6" t="str">
        <f t="shared" si="12"/>
        <v/>
      </c>
      <c r="M54" s="7" t="str">
        <f t="shared" si="13"/>
        <v/>
      </c>
      <c r="N54" s="7" t="str">
        <f t="shared" si="14"/>
        <v/>
      </c>
      <c r="O54" s="7" t="str">
        <f t="shared" si="15"/>
        <v/>
      </c>
      <c r="P54" s="8" t="str">
        <f t="shared" si="16"/>
        <v/>
      </c>
      <c r="Q54" s="5" t="str">
        <f t="shared" si="17"/>
        <v/>
      </c>
      <c r="R54" s="3"/>
      <c r="S54" s="3"/>
      <c r="T54" s="7" t="e">
        <f>IF(O54="",NA(),SUM($O$2:O54))</f>
        <v>#N/A</v>
      </c>
    </row>
    <row r="55" spans="1:20" x14ac:dyDescent="0.25">
      <c r="A55" s="2"/>
      <c r="B55" s="3"/>
      <c r="C55" s="3"/>
      <c r="D55" s="4"/>
      <c r="E55" s="4"/>
      <c r="F55" s="4"/>
      <c r="G55" s="3"/>
      <c r="H55" s="5" t="str">
        <f t="shared" si="9"/>
        <v/>
      </c>
      <c r="I55" s="6" t="str">
        <f t="shared" si="10"/>
        <v/>
      </c>
      <c r="J55" s="4"/>
      <c r="K55" s="6" t="str">
        <f t="shared" si="11"/>
        <v/>
      </c>
      <c r="L55" s="6" t="str">
        <f t="shared" si="12"/>
        <v/>
      </c>
      <c r="M55" s="7" t="str">
        <f t="shared" si="13"/>
        <v/>
      </c>
      <c r="N55" s="7" t="str">
        <f t="shared" si="14"/>
        <v/>
      </c>
      <c r="O55" s="7" t="str">
        <f t="shared" si="15"/>
        <v/>
      </c>
      <c r="P55" s="8" t="str">
        <f t="shared" si="16"/>
        <v/>
      </c>
      <c r="Q55" s="5" t="str">
        <f t="shared" si="17"/>
        <v/>
      </c>
      <c r="R55" s="3"/>
      <c r="S55" s="3"/>
      <c r="T55" s="7" t="e">
        <f>IF(O55="",NA(),SUM($O$2:O55))</f>
        <v>#N/A</v>
      </c>
    </row>
    <row r="56" spans="1:20" x14ac:dyDescent="0.25">
      <c r="A56" s="2"/>
      <c r="B56" s="3"/>
      <c r="C56" s="3"/>
      <c r="D56" s="4"/>
      <c r="E56" s="4"/>
      <c r="F56" s="4"/>
      <c r="G56" s="3"/>
      <c r="H56" s="5" t="str">
        <f t="shared" si="9"/>
        <v/>
      </c>
      <c r="I56" s="6" t="str">
        <f t="shared" si="10"/>
        <v/>
      </c>
      <c r="J56" s="4"/>
      <c r="K56" s="6" t="str">
        <f t="shared" si="11"/>
        <v/>
      </c>
      <c r="L56" s="6" t="str">
        <f t="shared" si="12"/>
        <v/>
      </c>
      <c r="M56" s="7" t="str">
        <f t="shared" si="13"/>
        <v/>
      </c>
      <c r="N56" s="7" t="str">
        <f t="shared" si="14"/>
        <v/>
      </c>
      <c r="O56" s="7" t="str">
        <f t="shared" si="15"/>
        <v/>
      </c>
      <c r="P56" s="8" t="str">
        <f t="shared" si="16"/>
        <v/>
      </c>
      <c r="Q56" s="5" t="str">
        <f t="shared" si="17"/>
        <v/>
      </c>
      <c r="R56" s="3"/>
      <c r="S56" s="3"/>
      <c r="T56" s="7" t="e">
        <f>IF(O56="",NA(),SUM($O$2:O56))</f>
        <v>#N/A</v>
      </c>
    </row>
    <row r="57" spans="1:20" x14ac:dyDescent="0.25">
      <c r="A57" s="2"/>
      <c r="B57" s="3"/>
      <c r="C57" s="3"/>
      <c r="D57" s="4"/>
      <c r="E57" s="4"/>
      <c r="F57" s="4"/>
      <c r="G57" s="3"/>
      <c r="H57" s="5" t="str">
        <f t="shared" si="9"/>
        <v/>
      </c>
      <c r="I57" s="6" t="str">
        <f t="shared" si="10"/>
        <v/>
      </c>
      <c r="J57" s="4"/>
      <c r="K57" s="6" t="str">
        <f t="shared" si="11"/>
        <v/>
      </c>
      <c r="L57" s="6" t="str">
        <f t="shared" si="12"/>
        <v/>
      </c>
      <c r="M57" s="7" t="str">
        <f t="shared" si="13"/>
        <v/>
      </c>
      <c r="N57" s="7" t="str">
        <f t="shared" si="14"/>
        <v/>
      </c>
      <c r="O57" s="7" t="str">
        <f t="shared" si="15"/>
        <v/>
      </c>
      <c r="P57" s="8" t="str">
        <f t="shared" si="16"/>
        <v/>
      </c>
      <c r="Q57" s="5" t="str">
        <f t="shared" si="17"/>
        <v/>
      </c>
      <c r="R57" s="3"/>
      <c r="S57" s="3"/>
      <c r="T57" s="7" t="e">
        <f>IF(O57="",NA(),SUM($O$2:O57))</f>
        <v>#N/A</v>
      </c>
    </row>
    <row r="58" spans="1:20" x14ac:dyDescent="0.25">
      <c r="A58" s="2"/>
      <c r="B58" s="3"/>
      <c r="C58" s="3"/>
      <c r="D58" s="4"/>
      <c r="E58" s="4"/>
      <c r="F58" s="4"/>
      <c r="G58" s="3"/>
      <c r="H58" s="5" t="str">
        <f t="shared" si="9"/>
        <v/>
      </c>
      <c r="I58" s="6" t="str">
        <f t="shared" si="10"/>
        <v/>
      </c>
      <c r="J58" s="4"/>
      <c r="K58" s="6" t="str">
        <f t="shared" si="11"/>
        <v/>
      </c>
      <c r="L58" s="6" t="str">
        <f t="shared" si="12"/>
        <v/>
      </c>
      <c r="M58" s="7" t="str">
        <f t="shared" si="13"/>
        <v/>
      </c>
      <c r="N58" s="7" t="str">
        <f t="shared" si="14"/>
        <v/>
      </c>
      <c r="O58" s="7" t="str">
        <f t="shared" si="15"/>
        <v/>
      </c>
      <c r="P58" s="8" t="str">
        <f t="shared" si="16"/>
        <v/>
      </c>
      <c r="Q58" s="5" t="str">
        <f t="shared" si="17"/>
        <v/>
      </c>
      <c r="R58" s="3"/>
      <c r="S58" s="3"/>
      <c r="T58" s="7" t="e">
        <f>IF(O58="",NA(),SUM($O$2:O58))</f>
        <v>#N/A</v>
      </c>
    </row>
    <row r="59" spans="1:20" x14ac:dyDescent="0.25">
      <c r="A59" s="2"/>
      <c r="B59" s="3"/>
      <c r="C59" s="3"/>
      <c r="D59" s="4"/>
      <c r="E59" s="4"/>
      <c r="F59" s="4"/>
      <c r="G59" s="3"/>
      <c r="H59" s="5" t="str">
        <f t="shared" si="9"/>
        <v/>
      </c>
      <c r="I59" s="6" t="str">
        <f t="shared" si="10"/>
        <v/>
      </c>
      <c r="J59" s="4"/>
      <c r="K59" s="6" t="str">
        <f t="shared" si="11"/>
        <v/>
      </c>
      <c r="L59" s="6" t="str">
        <f t="shared" si="12"/>
        <v/>
      </c>
      <c r="M59" s="7" t="str">
        <f t="shared" si="13"/>
        <v/>
      </c>
      <c r="N59" s="7" t="str">
        <f t="shared" si="14"/>
        <v/>
      </c>
      <c r="O59" s="7" t="str">
        <f t="shared" si="15"/>
        <v/>
      </c>
      <c r="P59" s="8" t="str">
        <f t="shared" si="16"/>
        <v/>
      </c>
      <c r="Q59" s="5" t="str">
        <f t="shared" si="17"/>
        <v/>
      </c>
      <c r="R59" s="3"/>
      <c r="S59" s="3"/>
      <c r="T59" s="7" t="e">
        <f>IF(O59="",NA(),SUM($O$2:O59))</f>
        <v>#N/A</v>
      </c>
    </row>
    <row r="60" spans="1:20" x14ac:dyDescent="0.25">
      <c r="A60" s="2"/>
      <c r="B60" s="3"/>
      <c r="C60" s="3"/>
      <c r="D60" s="4"/>
      <c r="E60" s="4"/>
      <c r="F60" s="4"/>
      <c r="G60" s="3"/>
      <c r="H60" s="5" t="str">
        <f t="shared" si="9"/>
        <v/>
      </c>
      <c r="I60" s="6" t="str">
        <f t="shared" si="10"/>
        <v/>
      </c>
      <c r="J60" s="4"/>
      <c r="K60" s="6" t="str">
        <f t="shared" si="11"/>
        <v/>
      </c>
      <c r="L60" s="6" t="str">
        <f t="shared" si="12"/>
        <v/>
      </c>
      <c r="M60" s="7" t="str">
        <f t="shared" si="13"/>
        <v/>
      </c>
      <c r="N60" s="7" t="str">
        <f t="shared" si="14"/>
        <v/>
      </c>
      <c r="O60" s="7" t="str">
        <f t="shared" si="15"/>
        <v/>
      </c>
      <c r="P60" s="8" t="str">
        <f t="shared" si="16"/>
        <v/>
      </c>
      <c r="Q60" s="5" t="str">
        <f t="shared" si="17"/>
        <v/>
      </c>
      <c r="R60" s="3"/>
      <c r="S60" s="3"/>
      <c r="T60" s="7" t="e">
        <f>IF(O60="",NA(),SUM($O$2:O60))</f>
        <v>#N/A</v>
      </c>
    </row>
    <row r="61" spans="1:20" x14ac:dyDescent="0.25">
      <c r="A61" s="2"/>
      <c r="B61" s="3"/>
      <c r="C61" s="3"/>
      <c r="D61" s="4"/>
      <c r="E61" s="4"/>
      <c r="F61" s="4"/>
      <c r="G61" s="3"/>
      <c r="H61" s="5" t="str">
        <f t="shared" si="9"/>
        <v/>
      </c>
      <c r="I61" s="6" t="str">
        <f t="shared" si="10"/>
        <v/>
      </c>
      <c r="J61" s="4"/>
      <c r="K61" s="6" t="str">
        <f t="shared" si="11"/>
        <v/>
      </c>
      <c r="L61" s="6" t="str">
        <f t="shared" si="12"/>
        <v/>
      </c>
      <c r="M61" s="7" t="str">
        <f t="shared" si="13"/>
        <v/>
      </c>
      <c r="N61" s="7" t="str">
        <f t="shared" si="14"/>
        <v/>
      </c>
      <c r="O61" s="7" t="str">
        <f t="shared" si="15"/>
        <v/>
      </c>
      <c r="P61" s="8" t="str">
        <f t="shared" si="16"/>
        <v/>
      </c>
      <c r="Q61" s="5" t="str">
        <f t="shared" si="17"/>
        <v/>
      </c>
      <c r="R61" s="3"/>
      <c r="S61" s="3"/>
      <c r="T61" s="7" t="e">
        <f>IF(O61="",NA(),SUM($O$2:O61))</f>
        <v>#N/A</v>
      </c>
    </row>
    <row r="62" spans="1:20" x14ac:dyDescent="0.25">
      <c r="A62" s="2"/>
      <c r="B62" s="3"/>
      <c r="C62" s="3"/>
      <c r="D62" s="4"/>
      <c r="E62" s="4"/>
      <c r="F62" s="4"/>
      <c r="G62" s="3"/>
      <c r="H62" s="5" t="str">
        <f t="shared" si="9"/>
        <v/>
      </c>
      <c r="I62" s="6" t="str">
        <f t="shared" si="10"/>
        <v/>
      </c>
      <c r="J62" s="4"/>
      <c r="K62" s="6" t="str">
        <f t="shared" si="11"/>
        <v/>
      </c>
      <c r="L62" s="6" t="str">
        <f t="shared" si="12"/>
        <v/>
      </c>
      <c r="M62" s="7" t="str">
        <f t="shared" si="13"/>
        <v/>
      </c>
      <c r="N62" s="7" t="str">
        <f t="shared" si="14"/>
        <v/>
      </c>
      <c r="O62" s="7" t="str">
        <f t="shared" si="15"/>
        <v/>
      </c>
      <c r="P62" s="8" t="str">
        <f t="shared" si="16"/>
        <v/>
      </c>
      <c r="Q62" s="5" t="str">
        <f t="shared" si="17"/>
        <v/>
      </c>
      <c r="R62" s="3"/>
      <c r="S62" s="3"/>
      <c r="T62" s="7" t="e">
        <f>IF(O62="",NA(),SUM($O$2:O62))</f>
        <v>#N/A</v>
      </c>
    </row>
    <row r="63" spans="1:20" x14ac:dyDescent="0.25">
      <c r="A63" s="2"/>
      <c r="B63" s="3"/>
      <c r="C63" s="3"/>
      <c r="D63" s="4"/>
      <c r="E63" s="4"/>
      <c r="F63" s="4"/>
      <c r="G63" s="3"/>
      <c r="H63" s="5" t="str">
        <f t="shared" si="9"/>
        <v/>
      </c>
      <c r="I63" s="6" t="str">
        <f t="shared" si="10"/>
        <v/>
      </c>
      <c r="J63" s="4"/>
      <c r="K63" s="6" t="str">
        <f t="shared" si="11"/>
        <v/>
      </c>
      <c r="L63" s="6" t="str">
        <f t="shared" si="12"/>
        <v/>
      </c>
      <c r="M63" s="7" t="str">
        <f t="shared" si="13"/>
        <v/>
      </c>
      <c r="N63" s="7" t="str">
        <f t="shared" si="14"/>
        <v/>
      </c>
      <c r="O63" s="7" t="str">
        <f t="shared" si="15"/>
        <v/>
      </c>
      <c r="P63" s="8" t="str">
        <f t="shared" si="16"/>
        <v/>
      </c>
      <c r="Q63" s="5" t="str">
        <f t="shared" si="17"/>
        <v/>
      </c>
      <c r="R63" s="3"/>
      <c r="S63" s="3"/>
      <c r="T63" s="7" t="e">
        <f>IF(O63="",NA(),SUM($O$2:O63))</f>
        <v>#N/A</v>
      </c>
    </row>
    <row r="64" spans="1:20" x14ac:dyDescent="0.25">
      <c r="A64" s="2"/>
      <c r="B64" s="3"/>
      <c r="C64" s="3"/>
      <c r="D64" s="4"/>
      <c r="E64" s="4"/>
      <c r="F64" s="4"/>
      <c r="G64" s="3"/>
      <c r="H64" s="5" t="str">
        <f t="shared" si="9"/>
        <v/>
      </c>
      <c r="I64" s="6" t="str">
        <f t="shared" si="10"/>
        <v/>
      </c>
      <c r="J64" s="4"/>
      <c r="K64" s="6" t="str">
        <f t="shared" si="11"/>
        <v/>
      </c>
      <c r="L64" s="6" t="str">
        <f t="shared" si="12"/>
        <v/>
      </c>
      <c r="M64" s="7" t="str">
        <f t="shared" si="13"/>
        <v/>
      </c>
      <c r="N64" s="7" t="str">
        <f t="shared" si="14"/>
        <v/>
      </c>
      <c r="O64" s="7" t="str">
        <f t="shared" si="15"/>
        <v/>
      </c>
      <c r="P64" s="8" t="str">
        <f t="shared" si="16"/>
        <v/>
      </c>
      <c r="Q64" s="5" t="str">
        <f t="shared" si="17"/>
        <v/>
      </c>
      <c r="R64" s="3"/>
      <c r="S64" s="3"/>
      <c r="T64" s="7" t="e">
        <f>IF(O64="",NA(),SUM($O$2:O64))</f>
        <v>#N/A</v>
      </c>
    </row>
    <row r="65" spans="1:20" x14ac:dyDescent="0.25">
      <c r="A65" s="2"/>
      <c r="B65" s="3"/>
      <c r="C65" s="3"/>
      <c r="D65" s="4"/>
      <c r="E65" s="4"/>
      <c r="F65" s="4"/>
      <c r="G65" s="3"/>
      <c r="H65" s="5" t="str">
        <f t="shared" si="9"/>
        <v/>
      </c>
      <c r="I65" s="6" t="str">
        <f t="shared" si="10"/>
        <v/>
      </c>
      <c r="J65" s="4"/>
      <c r="K65" s="6" t="str">
        <f t="shared" si="11"/>
        <v/>
      </c>
      <c r="L65" s="6" t="str">
        <f t="shared" si="12"/>
        <v/>
      </c>
      <c r="M65" s="7" t="str">
        <f t="shared" si="13"/>
        <v/>
      </c>
      <c r="N65" s="7" t="str">
        <f t="shared" si="14"/>
        <v/>
      </c>
      <c r="O65" s="7" t="str">
        <f t="shared" si="15"/>
        <v/>
      </c>
      <c r="P65" s="8" t="str">
        <f t="shared" si="16"/>
        <v/>
      </c>
      <c r="Q65" s="5" t="str">
        <f t="shared" si="17"/>
        <v/>
      </c>
      <c r="R65" s="3"/>
      <c r="S65" s="3"/>
      <c r="T65" s="7" t="e">
        <f>IF(O65="",NA(),SUM($O$2:O65))</f>
        <v>#N/A</v>
      </c>
    </row>
    <row r="66" spans="1:20" x14ac:dyDescent="0.25">
      <c r="A66" s="2"/>
      <c r="B66" s="3"/>
      <c r="C66" s="3"/>
      <c r="D66" s="4"/>
      <c r="E66" s="4"/>
      <c r="F66" s="4"/>
      <c r="G66" s="3"/>
      <c r="H66" s="5" t="str">
        <f t="shared" ref="H66:H101" si="18">IF(OR(D66="",E66=""),"",ABS(D66-E66))</f>
        <v/>
      </c>
      <c r="I66" s="6" t="str">
        <f t="shared" ref="I66:I97" si="19">IF(OR(H66="",G66=""),"",H66*G66)</f>
        <v/>
      </c>
      <c r="J66" s="4"/>
      <c r="K66" s="6" t="str">
        <f t="shared" ref="K66:K97" si="20">IF(J66="","",IF(UPPER(C66)="BUY",D66*G66,J66*G66))</f>
        <v/>
      </c>
      <c r="L66" s="6" t="str">
        <f t="shared" ref="L66:L101" si="21">IF(J66="","",IF(UPPER(C66)="BUY",J66*G66,D66*G66))</f>
        <v/>
      </c>
      <c r="M66" s="7" t="str">
        <f t="shared" ref="M66:M101" si="22">IF(J66="","",IF(UPPER(C66)="BUY",(J66-D66)*G66,(D66-J66)*G66))</f>
        <v/>
      </c>
      <c r="N66" s="7" t="str">
        <f t="shared" ref="N66:N101" si="23">IF(J66="","",MIN(0.0003*K66,20)+MIN(0.0003*L66,20)+0.00025*L66+0.0000297*(K66+L66)+0.000001*(K66+L66)+0.00003*K66+0.18*(MIN(0.0003*K66,20)+MIN(0.0003*L66,20)+0.0000297*(K66+L66)+0.000001*(K66+L66)))</f>
        <v/>
      </c>
      <c r="O66" s="7" t="str">
        <f t="shared" ref="O66:O97" si="24">IF(J66="","",M66-N66)</f>
        <v/>
      </c>
      <c r="P66" s="8" t="str">
        <f t="shared" ref="P66:P97" si="25">IF(J66="","",IF(O66&gt;0,"WIN",IF(O66&lt;0,"LOSS","BE")))</f>
        <v/>
      </c>
      <c r="Q66" s="5" t="str">
        <f t="shared" ref="Q66:Q101" si="26">IF(OR(J66="",I66="",I66=0),"",O66/I66)</f>
        <v/>
      </c>
      <c r="R66" s="3"/>
      <c r="S66" s="3"/>
      <c r="T66" s="7" t="e">
        <f>IF(O66="",NA(),SUM($O$2:O66))</f>
        <v>#N/A</v>
      </c>
    </row>
    <row r="67" spans="1:20" x14ac:dyDescent="0.25">
      <c r="A67" s="2"/>
      <c r="B67" s="3"/>
      <c r="C67" s="3"/>
      <c r="D67" s="4"/>
      <c r="E67" s="4"/>
      <c r="F67" s="4"/>
      <c r="G67" s="3"/>
      <c r="H67" s="5" t="str">
        <f t="shared" si="18"/>
        <v/>
      </c>
      <c r="I67" s="6" t="str">
        <f t="shared" si="19"/>
        <v/>
      </c>
      <c r="J67" s="4"/>
      <c r="K67" s="6" t="str">
        <f t="shared" si="20"/>
        <v/>
      </c>
      <c r="L67" s="6" t="str">
        <f t="shared" si="21"/>
        <v/>
      </c>
      <c r="M67" s="7" t="str">
        <f t="shared" si="22"/>
        <v/>
      </c>
      <c r="N67" s="7" t="str">
        <f t="shared" si="23"/>
        <v/>
      </c>
      <c r="O67" s="7" t="str">
        <f t="shared" si="24"/>
        <v/>
      </c>
      <c r="P67" s="8" t="str">
        <f t="shared" si="25"/>
        <v/>
      </c>
      <c r="Q67" s="5" t="str">
        <f t="shared" si="26"/>
        <v/>
      </c>
      <c r="R67" s="3"/>
      <c r="S67" s="3"/>
      <c r="T67" s="7" t="e">
        <f>IF(O67="",NA(),SUM($O$2:O67))</f>
        <v>#N/A</v>
      </c>
    </row>
    <row r="68" spans="1:20" x14ac:dyDescent="0.25">
      <c r="A68" s="2"/>
      <c r="B68" s="3"/>
      <c r="C68" s="3"/>
      <c r="D68" s="4"/>
      <c r="E68" s="4"/>
      <c r="F68" s="4"/>
      <c r="G68" s="3"/>
      <c r="H68" s="5" t="str">
        <f t="shared" si="18"/>
        <v/>
      </c>
      <c r="I68" s="6" t="str">
        <f t="shared" si="19"/>
        <v/>
      </c>
      <c r="J68" s="4"/>
      <c r="K68" s="6" t="str">
        <f t="shared" si="20"/>
        <v/>
      </c>
      <c r="L68" s="6" t="str">
        <f t="shared" si="21"/>
        <v/>
      </c>
      <c r="M68" s="7" t="str">
        <f t="shared" si="22"/>
        <v/>
      </c>
      <c r="N68" s="7" t="str">
        <f t="shared" si="23"/>
        <v/>
      </c>
      <c r="O68" s="7" t="str">
        <f t="shared" si="24"/>
        <v/>
      </c>
      <c r="P68" s="8" t="str">
        <f t="shared" si="25"/>
        <v/>
      </c>
      <c r="Q68" s="5" t="str">
        <f t="shared" si="26"/>
        <v/>
      </c>
      <c r="R68" s="3"/>
      <c r="S68" s="3"/>
      <c r="T68" s="7" t="e">
        <f>IF(O68="",NA(),SUM($O$2:O68))</f>
        <v>#N/A</v>
      </c>
    </row>
    <row r="69" spans="1:20" x14ac:dyDescent="0.25">
      <c r="A69" s="2"/>
      <c r="B69" s="3"/>
      <c r="C69" s="3"/>
      <c r="D69" s="4"/>
      <c r="E69" s="4"/>
      <c r="F69" s="4"/>
      <c r="G69" s="3"/>
      <c r="H69" s="5" t="str">
        <f t="shared" si="18"/>
        <v/>
      </c>
      <c r="I69" s="6" t="str">
        <f t="shared" si="19"/>
        <v/>
      </c>
      <c r="J69" s="4"/>
      <c r="K69" s="6" t="str">
        <f t="shared" si="20"/>
        <v/>
      </c>
      <c r="L69" s="6" t="str">
        <f t="shared" si="21"/>
        <v/>
      </c>
      <c r="M69" s="7" t="str">
        <f t="shared" si="22"/>
        <v/>
      </c>
      <c r="N69" s="7" t="str">
        <f t="shared" si="23"/>
        <v/>
      </c>
      <c r="O69" s="7" t="str">
        <f t="shared" si="24"/>
        <v/>
      </c>
      <c r="P69" s="8" t="str">
        <f t="shared" si="25"/>
        <v/>
      </c>
      <c r="Q69" s="5" t="str">
        <f t="shared" si="26"/>
        <v/>
      </c>
      <c r="R69" s="3"/>
      <c r="S69" s="3"/>
      <c r="T69" s="7" t="e">
        <f>IF(O69="",NA(),SUM($O$2:O69))</f>
        <v>#N/A</v>
      </c>
    </row>
    <row r="70" spans="1:20" x14ac:dyDescent="0.25">
      <c r="A70" s="2"/>
      <c r="B70" s="3"/>
      <c r="C70" s="3"/>
      <c r="D70" s="4"/>
      <c r="E70" s="4"/>
      <c r="F70" s="4"/>
      <c r="G70" s="3"/>
      <c r="H70" s="5" t="str">
        <f t="shared" si="18"/>
        <v/>
      </c>
      <c r="I70" s="6" t="str">
        <f t="shared" si="19"/>
        <v/>
      </c>
      <c r="J70" s="4"/>
      <c r="K70" s="6" t="str">
        <f t="shared" si="20"/>
        <v/>
      </c>
      <c r="L70" s="6" t="str">
        <f t="shared" si="21"/>
        <v/>
      </c>
      <c r="M70" s="7" t="str">
        <f t="shared" si="22"/>
        <v/>
      </c>
      <c r="N70" s="7" t="str">
        <f t="shared" si="23"/>
        <v/>
      </c>
      <c r="O70" s="7" t="str">
        <f t="shared" si="24"/>
        <v/>
      </c>
      <c r="P70" s="8" t="str">
        <f t="shared" si="25"/>
        <v/>
      </c>
      <c r="Q70" s="5" t="str">
        <f t="shared" si="26"/>
        <v/>
      </c>
      <c r="R70" s="3"/>
      <c r="S70" s="3"/>
      <c r="T70" s="7" t="e">
        <f>IF(O70="",NA(),SUM($O$2:O70))</f>
        <v>#N/A</v>
      </c>
    </row>
    <row r="71" spans="1:20" x14ac:dyDescent="0.25">
      <c r="A71" s="2"/>
      <c r="B71" s="3"/>
      <c r="C71" s="3"/>
      <c r="D71" s="4"/>
      <c r="E71" s="4"/>
      <c r="F71" s="4"/>
      <c r="G71" s="3"/>
      <c r="H71" s="5" t="str">
        <f t="shared" si="18"/>
        <v/>
      </c>
      <c r="I71" s="6" t="str">
        <f t="shared" si="19"/>
        <v/>
      </c>
      <c r="J71" s="4"/>
      <c r="K71" s="6" t="str">
        <f t="shared" si="20"/>
        <v/>
      </c>
      <c r="L71" s="6" t="str">
        <f t="shared" si="21"/>
        <v/>
      </c>
      <c r="M71" s="7" t="str">
        <f t="shared" si="22"/>
        <v/>
      </c>
      <c r="N71" s="7" t="str">
        <f t="shared" si="23"/>
        <v/>
      </c>
      <c r="O71" s="7" t="str">
        <f t="shared" si="24"/>
        <v/>
      </c>
      <c r="P71" s="8" t="str">
        <f t="shared" si="25"/>
        <v/>
      </c>
      <c r="Q71" s="5" t="str">
        <f t="shared" si="26"/>
        <v/>
      </c>
      <c r="R71" s="3"/>
      <c r="S71" s="3"/>
      <c r="T71" s="7" t="e">
        <f>IF(O71="",NA(),SUM($O$2:O71))</f>
        <v>#N/A</v>
      </c>
    </row>
    <row r="72" spans="1:20" x14ac:dyDescent="0.25">
      <c r="A72" s="2"/>
      <c r="B72" s="3"/>
      <c r="C72" s="3"/>
      <c r="D72" s="4"/>
      <c r="E72" s="4"/>
      <c r="F72" s="4"/>
      <c r="G72" s="3"/>
      <c r="H72" s="5" t="str">
        <f t="shared" si="18"/>
        <v/>
      </c>
      <c r="I72" s="6" t="str">
        <f t="shared" si="19"/>
        <v/>
      </c>
      <c r="J72" s="4"/>
      <c r="K72" s="6" t="str">
        <f t="shared" si="20"/>
        <v/>
      </c>
      <c r="L72" s="6" t="str">
        <f t="shared" si="21"/>
        <v/>
      </c>
      <c r="M72" s="7" t="str">
        <f t="shared" si="22"/>
        <v/>
      </c>
      <c r="N72" s="7" t="str">
        <f t="shared" si="23"/>
        <v/>
      </c>
      <c r="O72" s="7" t="str">
        <f t="shared" si="24"/>
        <v/>
      </c>
      <c r="P72" s="8" t="str">
        <f t="shared" si="25"/>
        <v/>
      </c>
      <c r="Q72" s="5" t="str">
        <f t="shared" si="26"/>
        <v/>
      </c>
      <c r="R72" s="3"/>
      <c r="S72" s="3"/>
      <c r="T72" s="7" t="e">
        <f>IF(O72="",NA(),SUM($O$2:O72))</f>
        <v>#N/A</v>
      </c>
    </row>
    <row r="73" spans="1:20" x14ac:dyDescent="0.25">
      <c r="A73" s="2"/>
      <c r="B73" s="3"/>
      <c r="C73" s="3"/>
      <c r="D73" s="4"/>
      <c r="E73" s="4"/>
      <c r="F73" s="4"/>
      <c r="G73" s="3"/>
      <c r="H73" s="5" t="str">
        <f t="shared" si="18"/>
        <v/>
      </c>
      <c r="I73" s="6" t="str">
        <f t="shared" si="19"/>
        <v/>
      </c>
      <c r="J73" s="4"/>
      <c r="K73" s="6" t="str">
        <f t="shared" si="20"/>
        <v/>
      </c>
      <c r="L73" s="6" t="str">
        <f t="shared" si="21"/>
        <v/>
      </c>
      <c r="M73" s="7" t="str">
        <f t="shared" si="22"/>
        <v/>
      </c>
      <c r="N73" s="7" t="str">
        <f t="shared" si="23"/>
        <v/>
      </c>
      <c r="O73" s="7" t="str">
        <f t="shared" si="24"/>
        <v/>
      </c>
      <c r="P73" s="8" t="str">
        <f t="shared" si="25"/>
        <v/>
      </c>
      <c r="Q73" s="5" t="str">
        <f t="shared" si="26"/>
        <v/>
      </c>
      <c r="R73" s="3"/>
      <c r="S73" s="3"/>
      <c r="T73" s="7" t="e">
        <f>IF(O73="",NA(),SUM($O$2:O73))</f>
        <v>#N/A</v>
      </c>
    </row>
    <row r="74" spans="1:20" x14ac:dyDescent="0.25">
      <c r="A74" s="2"/>
      <c r="B74" s="3"/>
      <c r="C74" s="3"/>
      <c r="D74" s="4"/>
      <c r="E74" s="4"/>
      <c r="F74" s="4"/>
      <c r="G74" s="3"/>
      <c r="H74" s="5" t="str">
        <f t="shared" si="18"/>
        <v/>
      </c>
      <c r="I74" s="6" t="str">
        <f t="shared" si="19"/>
        <v/>
      </c>
      <c r="J74" s="4"/>
      <c r="K74" s="6" t="str">
        <f t="shared" si="20"/>
        <v/>
      </c>
      <c r="L74" s="6" t="str">
        <f t="shared" si="21"/>
        <v/>
      </c>
      <c r="M74" s="7" t="str">
        <f t="shared" si="22"/>
        <v/>
      </c>
      <c r="N74" s="7" t="str">
        <f t="shared" si="23"/>
        <v/>
      </c>
      <c r="O74" s="7" t="str">
        <f t="shared" si="24"/>
        <v/>
      </c>
      <c r="P74" s="8" t="str">
        <f t="shared" si="25"/>
        <v/>
      </c>
      <c r="Q74" s="5" t="str">
        <f t="shared" si="26"/>
        <v/>
      </c>
      <c r="R74" s="3"/>
      <c r="S74" s="3"/>
      <c r="T74" s="7" t="e">
        <f>IF(O74="",NA(),SUM($O$2:O74))</f>
        <v>#N/A</v>
      </c>
    </row>
    <row r="75" spans="1:20" x14ac:dyDescent="0.25">
      <c r="A75" s="2"/>
      <c r="B75" s="3"/>
      <c r="C75" s="3"/>
      <c r="D75" s="4"/>
      <c r="E75" s="4"/>
      <c r="F75" s="4"/>
      <c r="G75" s="3"/>
      <c r="H75" s="5" t="str">
        <f t="shared" si="18"/>
        <v/>
      </c>
      <c r="I75" s="6" t="str">
        <f t="shared" si="19"/>
        <v/>
      </c>
      <c r="J75" s="4"/>
      <c r="K75" s="6" t="str">
        <f t="shared" si="20"/>
        <v/>
      </c>
      <c r="L75" s="6" t="str">
        <f t="shared" si="21"/>
        <v/>
      </c>
      <c r="M75" s="7" t="str">
        <f t="shared" si="22"/>
        <v/>
      </c>
      <c r="N75" s="7" t="str">
        <f t="shared" si="23"/>
        <v/>
      </c>
      <c r="O75" s="7" t="str">
        <f t="shared" si="24"/>
        <v/>
      </c>
      <c r="P75" s="8" t="str">
        <f t="shared" si="25"/>
        <v/>
      </c>
      <c r="Q75" s="5" t="str">
        <f t="shared" si="26"/>
        <v/>
      </c>
      <c r="R75" s="3"/>
      <c r="S75" s="3"/>
      <c r="T75" s="7" t="e">
        <f>IF(O75="",NA(),SUM($O$2:O75))</f>
        <v>#N/A</v>
      </c>
    </row>
    <row r="76" spans="1:20" x14ac:dyDescent="0.25">
      <c r="A76" s="2"/>
      <c r="B76" s="3"/>
      <c r="C76" s="3"/>
      <c r="D76" s="4"/>
      <c r="E76" s="4"/>
      <c r="F76" s="4"/>
      <c r="G76" s="3"/>
      <c r="H76" s="5" t="str">
        <f t="shared" si="18"/>
        <v/>
      </c>
      <c r="I76" s="6" t="str">
        <f t="shared" si="19"/>
        <v/>
      </c>
      <c r="J76" s="4"/>
      <c r="K76" s="6" t="str">
        <f t="shared" si="20"/>
        <v/>
      </c>
      <c r="L76" s="6" t="str">
        <f t="shared" si="21"/>
        <v/>
      </c>
      <c r="M76" s="7" t="str">
        <f t="shared" si="22"/>
        <v/>
      </c>
      <c r="N76" s="7" t="str">
        <f t="shared" si="23"/>
        <v/>
      </c>
      <c r="O76" s="7" t="str">
        <f t="shared" si="24"/>
        <v/>
      </c>
      <c r="P76" s="8" t="str">
        <f t="shared" si="25"/>
        <v/>
      </c>
      <c r="Q76" s="5" t="str">
        <f t="shared" si="26"/>
        <v/>
      </c>
      <c r="R76" s="3"/>
      <c r="S76" s="3"/>
      <c r="T76" s="7" t="e">
        <f>IF(O76="",NA(),SUM($O$2:O76))</f>
        <v>#N/A</v>
      </c>
    </row>
    <row r="77" spans="1:20" x14ac:dyDescent="0.25">
      <c r="A77" s="2"/>
      <c r="B77" s="3"/>
      <c r="C77" s="3"/>
      <c r="D77" s="4"/>
      <c r="E77" s="4"/>
      <c r="F77" s="4"/>
      <c r="G77" s="3"/>
      <c r="H77" s="5" t="str">
        <f t="shared" si="18"/>
        <v/>
      </c>
      <c r="I77" s="6" t="str">
        <f t="shared" si="19"/>
        <v/>
      </c>
      <c r="J77" s="4"/>
      <c r="K77" s="6" t="str">
        <f t="shared" si="20"/>
        <v/>
      </c>
      <c r="L77" s="6" t="str">
        <f t="shared" si="21"/>
        <v/>
      </c>
      <c r="M77" s="7" t="str">
        <f t="shared" si="22"/>
        <v/>
      </c>
      <c r="N77" s="7" t="str">
        <f t="shared" si="23"/>
        <v/>
      </c>
      <c r="O77" s="7" t="str">
        <f t="shared" si="24"/>
        <v/>
      </c>
      <c r="P77" s="8" t="str">
        <f t="shared" si="25"/>
        <v/>
      </c>
      <c r="Q77" s="5" t="str">
        <f t="shared" si="26"/>
        <v/>
      </c>
      <c r="R77" s="3"/>
      <c r="S77" s="3"/>
      <c r="T77" s="7" t="e">
        <f>IF(O77="",NA(),SUM($O$2:O77))</f>
        <v>#N/A</v>
      </c>
    </row>
    <row r="78" spans="1:20" x14ac:dyDescent="0.25">
      <c r="A78" s="2"/>
      <c r="B78" s="3"/>
      <c r="C78" s="3"/>
      <c r="D78" s="4"/>
      <c r="E78" s="4"/>
      <c r="F78" s="4"/>
      <c r="G78" s="3"/>
      <c r="H78" s="5" t="str">
        <f t="shared" si="18"/>
        <v/>
      </c>
      <c r="I78" s="6" t="str">
        <f t="shared" si="19"/>
        <v/>
      </c>
      <c r="J78" s="4"/>
      <c r="K78" s="6" t="str">
        <f t="shared" si="20"/>
        <v/>
      </c>
      <c r="L78" s="6" t="str">
        <f t="shared" si="21"/>
        <v/>
      </c>
      <c r="M78" s="7" t="str">
        <f t="shared" si="22"/>
        <v/>
      </c>
      <c r="N78" s="7" t="str">
        <f t="shared" si="23"/>
        <v/>
      </c>
      <c r="O78" s="7" t="str">
        <f t="shared" si="24"/>
        <v/>
      </c>
      <c r="P78" s="8" t="str">
        <f t="shared" si="25"/>
        <v/>
      </c>
      <c r="Q78" s="5" t="str">
        <f t="shared" si="26"/>
        <v/>
      </c>
      <c r="R78" s="3"/>
      <c r="S78" s="3"/>
      <c r="T78" s="7" t="e">
        <f>IF(O78="",NA(),SUM($O$2:O78))</f>
        <v>#N/A</v>
      </c>
    </row>
    <row r="79" spans="1:20" x14ac:dyDescent="0.25">
      <c r="A79" s="2"/>
      <c r="B79" s="3"/>
      <c r="C79" s="3"/>
      <c r="D79" s="4"/>
      <c r="E79" s="4"/>
      <c r="F79" s="4"/>
      <c r="G79" s="3"/>
      <c r="H79" s="5" t="str">
        <f t="shared" si="18"/>
        <v/>
      </c>
      <c r="I79" s="6" t="str">
        <f t="shared" si="19"/>
        <v/>
      </c>
      <c r="J79" s="4"/>
      <c r="K79" s="6" t="str">
        <f t="shared" si="20"/>
        <v/>
      </c>
      <c r="L79" s="6" t="str">
        <f t="shared" si="21"/>
        <v/>
      </c>
      <c r="M79" s="7" t="str">
        <f t="shared" si="22"/>
        <v/>
      </c>
      <c r="N79" s="7" t="str">
        <f t="shared" si="23"/>
        <v/>
      </c>
      <c r="O79" s="7" t="str">
        <f t="shared" si="24"/>
        <v/>
      </c>
      <c r="P79" s="8" t="str">
        <f t="shared" si="25"/>
        <v/>
      </c>
      <c r="Q79" s="5" t="str">
        <f t="shared" si="26"/>
        <v/>
      </c>
      <c r="R79" s="3"/>
      <c r="S79" s="3"/>
      <c r="T79" s="7" t="e">
        <f>IF(O79="",NA(),SUM($O$2:O79))</f>
        <v>#N/A</v>
      </c>
    </row>
    <row r="80" spans="1:20" x14ac:dyDescent="0.25">
      <c r="A80" s="2"/>
      <c r="B80" s="3"/>
      <c r="C80" s="3"/>
      <c r="D80" s="4"/>
      <c r="E80" s="4"/>
      <c r="F80" s="4"/>
      <c r="G80" s="3"/>
      <c r="H80" s="5" t="str">
        <f t="shared" si="18"/>
        <v/>
      </c>
      <c r="I80" s="6" t="str">
        <f t="shared" si="19"/>
        <v/>
      </c>
      <c r="J80" s="4"/>
      <c r="K80" s="6" t="str">
        <f t="shared" si="20"/>
        <v/>
      </c>
      <c r="L80" s="6" t="str">
        <f t="shared" si="21"/>
        <v/>
      </c>
      <c r="M80" s="7" t="str">
        <f t="shared" si="22"/>
        <v/>
      </c>
      <c r="N80" s="7" t="str">
        <f t="shared" si="23"/>
        <v/>
      </c>
      <c r="O80" s="7" t="str">
        <f t="shared" si="24"/>
        <v/>
      </c>
      <c r="P80" s="8" t="str">
        <f t="shared" si="25"/>
        <v/>
      </c>
      <c r="Q80" s="5" t="str">
        <f t="shared" si="26"/>
        <v/>
      </c>
      <c r="R80" s="3"/>
      <c r="S80" s="3"/>
      <c r="T80" s="7" t="e">
        <f>IF(O80="",NA(),SUM($O$2:O80))</f>
        <v>#N/A</v>
      </c>
    </row>
    <row r="81" spans="1:20" x14ac:dyDescent="0.25">
      <c r="A81" s="2"/>
      <c r="B81" s="3"/>
      <c r="C81" s="3"/>
      <c r="D81" s="4"/>
      <c r="E81" s="4"/>
      <c r="F81" s="4"/>
      <c r="G81" s="3"/>
      <c r="H81" s="5" t="str">
        <f t="shared" si="18"/>
        <v/>
      </c>
      <c r="I81" s="6" t="str">
        <f t="shared" si="19"/>
        <v/>
      </c>
      <c r="J81" s="4"/>
      <c r="K81" s="6" t="str">
        <f t="shared" si="20"/>
        <v/>
      </c>
      <c r="L81" s="6" t="str">
        <f t="shared" si="21"/>
        <v/>
      </c>
      <c r="M81" s="7" t="str">
        <f t="shared" si="22"/>
        <v/>
      </c>
      <c r="N81" s="7" t="str">
        <f t="shared" si="23"/>
        <v/>
      </c>
      <c r="O81" s="7" t="str">
        <f t="shared" si="24"/>
        <v/>
      </c>
      <c r="P81" s="8" t="str">
        <f t="shared" si="25"/>
        <v/>
      </c>
      <c r="Q81" s="5" t="str">
        <f t="shared" si="26"/>
        <v/>
      </c>
      <c r="R81" s="3"/>
      <c r="S81" s="3"/>
      <c r="T81" s="7" t="e">
        <f>IF(O81="",NA(),SUM($O$2:O81))</f>
        <v>#N/A</v>
      </c>
    </row>
    <row r="82" spans="1:20" x14ac:dyDescent="0.25">
      <c r="A82" s="2"/>
      <c r="B82" s="3"/>
      <c r="C82" s="3"/>
      <c r="D82" s="4"/>
      <c r="E82" s="4"/>
      <c r="F82" s="4"/>
      <c r="G82" s="3"/>
      <c r="H82" s="5" t="str">
        <f t="shared" si="18"/>
        <v/>
      </c>
      <c r="I82" s="6" t="str">
        <f t="shared" si="19"/>
        <v/>
      </c>
      <c r="J82" s="4"/>
      <c r="K82" s="6" t="str">
        <f t="shared" si="20"/>
        <v/>
      </c>
      <c r="L82" s="6" t="str">
        <f t="shared" si="21"/>
        <v/>
      </c>
      <c r="M82" s="7" t="str">
        <f t="shared" si="22"/>
        <v/>
      </c>
      <c r="N82" s="7" t="str">
        <f t="shared" si="23"/>
        <v/>
      </c>
      <c r="O82" s="7" t="str">
        <f t="shared" si="24"/>
        <v/>
      </c>
      <c r="P82" s="8" t="str">
        <f t="shared" si="25"/>
        <v/>
      </c>
      <c r="Q82" s="5" t="str">
        <f t="shared" si="26"/>
        <v/>
      </c>
      <c r="R82" s="3"/>
      <c r="S82" s="3"/>
      <c r="T82" s="7" t="e">
        <f>IF(O82="",NA(),SUM($O$2:O82))</f>
        <v>#N/A</v>
      </c>
    </row>
    <row r="83" spans="1:20" x14ac:dyDescent="0.25">
      <c r="A83" s="2"/>
      <c r="B83" s="3"/>
      <c r="C83" s="3"/>
      <c r="D83" s="4"/>
      <c r="E83" s="4"/>
      <c r="F83" s="4"/>
      <c r="G83" s="3"/>
      <c r="H83" s="5" t="str">
        <f t="shared" si="18"/>
        <v/>
      </c>
      <c r="I83" s="6" t="str">
        <f t="shared" si="19"/>
        <v/>
      </c>
      <c r="J83" s="4"/>
      <c r="K83" s="6" t="str">
        <f t="shared" si="20"/>
        <v/>
      </c>
      <c r="L83" s="6" t="str">
        <f t="shared" si="21"/>
        <v/>
      </c>
      <c r="M83" s="7" t="str">
        <f t="shared" si="22"/>
        <v/>
      </c>
      <c r="N83" s="7" t="str">
        <f t="shared" si="23"/>
        <v/>
      </c>
      <c r="O83" s="7" t="str">
        <f t="shared" si="24"/>
        <v/>
      </c>
      <c r="P83" s="8" t="str">
        <f t="shared" si="25"/>
        <v/>
      </c>
      <c r="Q83" s="5" t="str">
        <f t="shared" si="26"/>
        <v/>
      </c>
      <c r="R83" s="3"/>
      <c r="S83" s="3"/>
      <c r="T83" s="7" t="e">
        <f>IF(O83="",NA(),SUM($O$2:O83))</f>
        <v>#N/A</v>
      </c>
    </row>
    <row r="84" spans="1:20" x14ac:dyDescent="0.25">
      <c r="A84" s="2"/>
      <c r="B84" s="3"/>
      <c r="C84" s="3"/>
      <c r="D84" s="4"/>
      <c r="E84" s="4"/>
      <c r="F84" s="4"/>
      <c r="G84" s="3"/>
      <c r="H84" s="5" t="str">
        <f t="shared" si="18"/>
        <v/>
      </c>
      <c r="I84" s="6" t="str">
        <f t="shared" si="19"/>
        <v/>
      </c>
      <c r="J84" s="4"/>
      <c r="K84" s="6" t="str">
        <f t="shared" si="20"/>
        <v/>
      </c>
      <c r="L84" s="6" t="str">
        <f t="shared" si="21"/>
        <v/>
      </c>
      <c r="M84" s="7" t="str">
        <f t="shared" si="22"/>
        <v/>
      </c>
      <c r="N84" s="7" t="str">
        <f t="shared" si="23"/>
        <v/>
      </c>
      <c r="O84" s="7" t="str">
        <f t="shared" si="24"/>
        <v/>
      </c>
      <c r="P84" s="8" t="str">
        <f t="shared" si="25"/>
        <v/>
      </c>
      <c r="Q84" s="5" t="str">
        <f t="shared" si="26"/>
        <v/>
      </c>
      <c r="R84" s="3"/>
      <c r="S84" s="3"/>
      <c r="T84" s="7" t="e">
        <f>IF(O84="",NA(),SUM($O$2:O84))</f>
        <v>#N/A</v>
      </c>
    </row>
    <row r="85" spans="1:20" x14ac:dyDescent="0.25">
      <c r="A85" s="2"/>
      <c r="B85" s="3"/>
      <c r="C85" s="3"/>
      <c r="D85" s="4"/>
      <c r="E85" s="4"/>
      <c r="F85" s="4"/>
      <c r="G85" s="3"/>
      <c r="H85" s="5" t="str">
        <f t="shared" si="18"/>
        <v/>
      </c>
      <c r="I85" s="6" t="str">
        <f t="shared" si="19"/>
        <v/>
      </c>
      <c r="J85" s="4"/>
      <c r="K85" s="6" t="str">
        <f t="shared" si="20"/>
        <v/>
      </c>
      <c r="L85" s="6" t="str">
        <f t="shared" si="21"/>
        <v/>
      </c>
      <c r="M85" s="7" t="str">
        <f t="shared" si="22"/>
        <v/>
      </c>
      <c r="N85" s="7" t="str">
        <f t="shared" si="23"/>
        <v/>
      </c>
      <c r="O85" s="7" t="str">
        <f t="shared" si="24"/>
        <v/>
      </c>
      <c r="P85" s="8" t="str">
        <f t="shared" si="25"/>
        <v/>
      </c>
      <c r="Q85" s="5" t="str">
        <f t="shared" si="26"/>
        <v/>
      </c>
      <c r="R85" s="3"/>
      <c r="S85" s="3"/>
      <c r="T85" s="7" t="e">
        <f>IF(O85="",NA(),SUM($O$2:O85))</f>
        <v>#N/A</v>
      </c>
    </row>
    <row r="86" spans="1:20" x14ac:dyDescent="0.25">
      <c r="A86" s="2"/>
      <c r="B86" s="3"/>
      <c r="C86" s="3"/>
      <c r="D86" s="4"/>
      <c r="E86" s="4"/>
      <c r="F86" s="4"/>
      <c r="G86" s="3"/>
      <c r="H86" s="5" t="str">
        <f t="shared" si="18"/>
        <v/>
      </c>
      <c r="I86" s="6" t="str">
        <f t="shared" si="19"/>
        <v/>
      </c>
      <c r="J86" s="4"/>
      <c r="K86" s="6" t="str">
        <f t="shared" si="20"/>
        <v/>
      </c>
      <c r="L86" s="6" t="str">
        <f t="shared" si="21"/>
        <v/>
      </c>
      <c r="M86" s="7" t="str">
        <f t="shared" si="22"/>
        <v/>
      </c>
      <c r="N86" s="7" t="str">
        <f t="shared" si="23"/>
        <v/>
      </c>
      <c r="O86" s="7" t="str">
        <f t="shared" si="24"/>
        <v/>
      </c>
      <c r="P86" s="8" t="str">
        <f t="shared" si="25"/>
        <v/>
      </c>
      <c r="Q86" s="5" t="str">
        <f t="shared" si="26"/>
        <v/>
      </c>
      <c r="R86" s="3"/>
      <c r="S86" s="3"/>
      <c r="T86" s="7" t="e">
        <f>IF(O86="",NA(),SUM($O$2:O86))</f>
        <v>#N/A</v>
      </c>
    </row>
    <row r="87" spans="1:20" x14ac:dyDescent="0.25">
      <c r="A87" s="2"/>
      <c r="B87" s="3"/>
      <c r="C87" s="3"/>
      <c r="D87" s="4"/>
      <c r="E87" s="4"/>
      <c r="F87" s="4"/>
      <c r="G87" s="3"/>
      <c r="H87" s="5" t="str">
        <f t="shared" si="18"/>
        <v/>
      </c>
      <c r="I87" s="6" t="str">
        <f t="shared" si="19"/>
        <v/>
      </c>
      <c r="J87" s="4"/>
      <c r="K87" s="6" t="str">
        <f t="shared" si="20"/>
        <v/>
      </c>
      <c r="L87" s="6" t="str">
        <f t="shared" si="21"/>
        <v/>
      </c>
      <c r="M87" s="7" t="str">
        <f t="shared" si="22"/>
        <v/>
      </c>
      <c r="N87" s="7" t="str">
        <f t="shared" si="23"/>
        <v/>
      </c>
      <c r="O87" s="7" t="str">
        <f t="shared" si="24"/>
        <v/>
      </c>
      <c r="P87" s="8" t="str">
        <f t="shared" si="25"/>
        <v/>
      </c>
      <c r="Q87" s="5" t="str">
        <f t="shared" si="26"/>
        <v/>
      </c>
      <c r="R87" s="3"/>
      <c r="S87" s="3"/>
      <c r="T87" s="7" t="e">
        <f>IF(O87="",NA(),SUM($O$2:O87))</f>
        <v>#N/A</v>
      </c>
    </row>
    <row r="88" spans="1:20" x14ac:dyDescent="0.25">
      <c r="A88" s="2"/>
      <c r="B88" s="3"/>
      <c r="C88" s="3"/>
      <c r="D88" s="4"/>
      <c r="E88" s="4"/>
      <c r="F88" s="4"/>
      <c r="G88" s="3"/>
      <c r="H88" s="5" t="str">
        <f t="shared" si="18"/>
        <v/>
      </c>
      <c r="I88" s="6" t="str">
        <f t="shared" si="19"/>
        <v/>
      </c>
      <c r="J88" s="4"/>
      <c r="K88" s="6" t="str">
        <f t="shared" si="20"/>
        <v/>
      </c>
      <c r="L88" s="6" t="str">
        <f t="shared" si="21"/>
        <v/>
      </c>
      <c r="M88" s="7" t="str">
        <f t="shared" si="22"/>
        <v/>
      </c>
      <c r="N88" s="7" t="str">
        <f t="shared" si="23"/>
        <v/>
      </c>
      <c r="O88" s="7" t="str">
        <f t="shared" si="24"/>
        <v/>
      </c>
      <c r="P88" s="8" t="str">
        <f t="shared" si="25"/>
        <v/>
      </c>
      <c r="Q88" s="5" t="str">
        <f t="shared" si="26"/>
        <v/>
      </c>
      <c r="R88" s="3"/>
      <c r="S88" s="3"/>
      <c r="T88" s="7" t="e">
        <f>IF(O88="",NA(),SUM($O$2:O88))</f>
        <v>#N/A</v>
      </c>
    </row>
    <row r="89" spans="1:20" x14ac:dyDescent="0.25">
      <c r="A89" s="2"/>
      <c r="B89" s="3"/>
      <c r="C89" s="3"/>
      <c r="D89" s="4"/>
      <c r="E89" s="4"/>
      <c r="F89" s="4"/>
      <c r="G89" s="3"/>
      <c r="H89" s="5" t="str">
        <f t="shared" si="18"/>
        <v/>
      </c>
      <c r="I89" s="6" t="str">
        <f t="shared" si="19"/>
        <v/>
      </c>
      <c r="J89" s="4"/>
      <c r="K89" s="6" t="str">
        <f t="shared" si="20"/>
        <v/>
      </c>
      <c r="L89" s="6" t="str">
        <f t="shared" si="21"/>
        <v/>
      </c>
      <c r="M89" s="7" t="str">
        <f t="shared" si="22"/>
        <v/>
      </c>
      <c r="N89" s="7" t="str">
        <f t="shared" si="23"/>
        <v/>
      </c>
      <c r="O89" s="7" t="str">
        <f t="shared" si="24"/>
        <v/>
      </c>
      <c r="P89" s="8" t="str">
        <f t="shared" si="25"/>
        <v/>
      </c>
      <c r="Q89" s="5" t="str">
        <f t="shared" si="26"/>
        <v/>
      </c>
      <c r="R89" s="3"/>
      <c r="S89" s="3"/>
      <c r="T89" s="7" t="e">
        <f>IF(O89="",NA(),SUM($O$2:O89))</f>
        <v>#N/A</v>
      </c>
    </row>
    <row r="90" spans="1:20" x14ac:dyDescent="0.25">
      <c r="A90" s="2"/>
      <c r="B90" s="3"/>
      <c r="C90" s="3"/>
      <c r="D90" s="4"/>
      <c r="E90" s="4"/>
      <c r="F90" s="4"/>
      <c r="G90" s="3"/>
      <c r="H90" s="5" t="str">
        <f t="shared" si="18"/>
        <v/>
      </c>
      <c r="I90" s="6" t="str">
        <f t="shared" si="19"/>
        <v/>
      </c>
      <c r="J90" s="4"/>
      <c r="K90" s="6" t="str">
        <f t="shared" si="20"/>
        <v/>
      </c>
      <c r="L90" s="6" t="str">
        <f t="shared" si="21"/>
        <v/>
      </c>
      <c r="M90" s="7" t="str">
        <f t="shared" si="22"/>
        <v/>
      </c>
      <c r="N90" s="7" t="str">
        <f t="shared" si="23"/>
        <v/>
      </c>
      <c r="O90" s="7" t="str">
        <f t="shared" si="24"/>
        <v/>
      </c>
      <c r="P90" s="8" t="str">
        <f t="shared" si="25"/>
        <v/>
      </c>
      <c r="Q90" s="5" t="str">
        <f t="shared" si="26"/>
        <v/>
      </c>
      <c r="R90" s="3"/>
      <c r="S90" s="3"/>
      <c r="T90" s="7" t="e">
        <f>IF(O90="",NA(),SUM($O$2:O90))</f>
        <v>#N/A</v>
      </c>
    </row>
    <row r="91" spans="1:20" x14ac:dyDescent="0.25">
      <c r="A91" s="2"/>
      <c r="B91" s="3"/>
      <c r="C91" s="3"/>
      <c r="D91" s="4"/>
      <c r="E91" s="4"/>
      <c r="F91" s="4"/>
      <c r="G91" s="3"/>
      <c r="H91" s="5" t="str">
        <f t="shared" si="18"/>
        <v/>
      </c>
      <c r="I91" s="6" t="str">
        <f t="shared" si="19"/>
        <v/>
      </c>
      <c r="J91" s="4"/>
      <c r="K91" s="6" t="str">
        <f t="shared" si="20"/>
        <v/>
      </c>
      <c r="L91" s="6" t="str">
        <f t="shared" si="21"/>
        <v/>
      </c>
      <c r="M91" s="7" t="str">
        <f t="shared" si="22"/>
        <v/>
      </c>
      <c r="N91" s="7" t="str">
        <f t="shared" si="23"/>
        <v/>
      </c>
      <c r="O91" s="7" t="str">
        <f t="shared" si="24"/>
        <v/>
      </c>
      <c r="P91" s="8" t="str">
        <f t="shared" si="25"/>
        <v/>
      </c>
      <c r="Q91" s="5" t="str">
        <f t="shared" si="26"/>
        <v/>
      </c>
      <c r="R91" s="3"/>
      <c r="S91" s="3"/>
      <c r="T91" s="7" t="e">
        <f>IF(O91="",NA(),SUM($O$2:O91))</f>
        <v>#N/A</v>
      </c>
    </row>
    <row r="92" spans="1:20" x14ac:dyDescent="0.25">
      <c r="A92" s="2"/>
      <c r="B92" s="3"/>
      <c r="C92" s="3"/>
      <c r="D92" s="4"/>
      <c r="E92" s="4"/>
      <c r="F92" s="4"/>
      <c r="G92" s="3"/>
      <c r="H92" s="5" t="str">
        <f t="shared" si="18"/>
        <v/>
      </c>
      <c r="I92" s="6" t="str">
        <f t="shared" si="19"/>
        <v/>
      </c>
      <c r="J92" s="4"/>
      <c r="K92" s="6" t="str">
        <f t="shared" si="20"/>
        <v/>
      </c>
      <c r="L92" s="6" t="str">
        <f t="shared" si="21"/>
        <v/>
      </c>
      <c r="M92" s="7" t="str">
        <f t="shared" si="22"/>
        <v/>
      </c>
      <c r="N92" s="7" t="str">
        <f t="shared" si="23"/>
        <v/>
      </c>
      <c r="O92" s="7" t="str">
        <f t="shared" si="24"/>
        <v/>
      </c>
      <c r="P92" s="8" t="str">
        <f t="shared" si="25"/>
        <v/>
      </c>
      <c r="Q92" s="5" t="str">
        <f t="shared" si="26"/>
        <v/>
      </c>
      <c r="R92" s="3"/>
      <c r="S92" s="3"/>
      <c r="T92" s="7" t="e">
        <f>IF(O92="",NA(),SUM($O$2:O92))</f>
        <v>#N/A</v>
      </c>
    </row>
    <row r="93" spans="1:20" x14ac:dyDescent="0.25">
      <c r="A93" s="2"/>
      <c r="B93" s="3"/>
      <c r="C93" s="3"/>
      <c r="D93" s="4"/>
      <c r="E93" s="4"/>
      <c r="F93" s="4"/>
      <c r="G93" s="3"/>
      <c r="H93" s="5" t="str">
        <f t="shared" si="18"/>
        <v/>
      </c>
      <c r="I93" s="6" t="str">
        <f t="shared" si="19"/>
        <v/>
      </c>
      <c r="J93" s="4"/>
      <c r="K93" s="6" t="str">
        <f t="shared" si="20"/>
        <v/>
      </c>
      <c r="L93" s="6" t="str">
        <f t="shared" si="21"/>
        <v/>
      </c>
      <c r="M93" s="7" t="str">
        <f t="shared" si="22"/>
        <v/>
      </c>
      <c r="N93" s="7" t="str">
        <f t="shared" si="23"/>
        <v/>
      </c>
      <c r="O93" s="7" t="str">
        <f t="shared" si="24"/>
        <v/>
      </c>
      <c r="P93" s="8" t="str">
        <f t="shared" si="25"/>
        <v/>
      </c>
      <c r="Q93" s="5" t="str">
        <f t="shared" si="26"/>
        <v/>
      </c>
      <c r="R93" s="3"/>
      <c r="S93" s="3"/>
      <c r="T93" s="7" t="e">
        <f>IF(O93="",NA(),SUM($O$2:O93))</f>
        <v>#N/A</v>
      </c>
    </row>
    <row r="94" spans="1:20" x14ac:dyDescent="0.25">
      <c r="A94" s="2"/>
      <c r="B94" s="3"/>
      <c r="C94" s="3"/>
      <c r="D94" s="4"/>
      <c r="E94" s="4"/>
      <c r="F94" s="4"/>
      <c r="G94" s="3"/>
      <c r="H94" s="5" t="str">
        <f t="shared" si="18"/>
        <v/>
      </c>
      <c r="I94" s="6" t="str">
        <f t="shared" si="19"/>
        <v/>
      </c>
      <c r="J94" s="4"/>
      <c r="K94" s="6" t="str">
        <f t="shared" si="20"/>
        <v/>
      </c>
      <c r="L94" s="6" t="str">
        <f t="shared" si="21"/>
        <v/>
      </c>
      <c r="M94" s="7" t="str">
        <f t="shared" si="22"/>
        <v/>
      </c>
      <c r="N94" s="7" t="str">
        <f t="shared" si="23"/>
        <v/>
      </c>
      <c r="O94" s="7" t="str">
        <f t="shared" si="24"/>
        <v/>
      </c>
      <c r="P94" s="8" t="str">
        <f t="shared" si="25"/>
        <v/>
      </c>
      <c r="Q94" s="5" t="str">
        <f t="shared" si="26"/>
        <v/>
      </c>
      <c r="R94" s="3"/>
      <c r="S94" s="3"/>
      <c r="T94" s="7" t="e">
        <f>IF(O94="",NA(),SUM($O$2:O94))</f>
        <v>#N/A</v>
      </c>
    </row>
    <row r="95" spans="1:20" x14ac:dyDescent="0.25">
      <c r="A95" s="2"/>
      <c r="B95" s="3"/>
      <c r="C95" s="3"/>
      <c r="D95" s="4"/>
      <c r="E95" s="4"/>
      <c r="F95" s="4"/>
      <c r="G95" s="3"/>
      <c r="H95" s="5" t="str">
        <f t="shared" si="18"/>
        <v/>
      </c>
      <c r="I95" s="6" t="str">
        <f t="shared" si="19"/>
        <v/>
      </c>
      <c r="J95" s="4"/>
      <c r="K95" s="6" t="str">
        <f t="shared" si="20"/>
        <v/>
      </c>
      <c r="L95" s="6" t="str">
        <f t="shared" si="21"/>
        <v/>
      </c>
      <c r="M95" s="7" t="str">
        <f t="shared" si="22"/>
        <v/>
      </c>
      <c r="N95" s="7" t="str">
        <f t="shared" si="23"/>
        <v/>
      </c>
      <c r="O95" s="7" t="str">
        <f t="shared" si="24"/>
        <v/>
      </c>
      <c r="P95" s="8" t="str">
        <f t="shared" si="25"/>
        <v/>
      </c>
      <c r="Q95" s="5" t="str">
        <f t="shared" si="26"/>
        <v/>
      </c>
      <c r="R95" s="3"/>
      <c r="S95" s="3"/>
      <c r="T95" s="7" t="e">
        <f>IF(O95="",NA(),SUM($O$2:O95))</f>
        <v>#N/A</v>
      </c>
    </row>
    <row r="96" spans="1:20" x14ac:dyDescent="0.25">
      <c r="A96" s="2"/>
      <c r="B96" s="3"/>
      <c r="C96" s="3"/>
      <c r="D96" s="4"/>
      <c r="E96" s="4"/>
      <c r="F96" s="4"/>
      <c r="G96" s="3"/>
      <c r="H96" s="5" t="str">
        <f t="shared" si="18"/>
        <v/>
      </c>
      <c r="I96" s="6" t="str">
        <f t="shared" si="19"/>
        <v/>
      </c>
      <c r="J96" s="4"/>
      <c r="K96" s="6" t="str">
        <f t="shared" si="20"/>
        <v/>
      </c>
      <c r="L96" s="6" t="str">
        <f t="shared" si="21"/>
        <v/>
      </c>
      <c r="M96" s="7" t="str">
        <f t="shared" si="22"/>
        <v/>
      </c>
      <c r="N96" s="7" t="str">
        <f t="shared" si="23"/>
        <v/>
      </c>
      <c r="O96" s="7" t="str">
        <f t="shared" si="24"/>
        <v/>
      </c>
      <c r="P96" s="8" t="str">
        <f t="shared" si="25"/>
        <v/>
      </c>
      <c r="Q96" s="5" t="str">
        <f t="shared" si="26"/>
        <v/>
      </c>
      <c r="R96" s="3"/>
      <c r="S96" s="3"/>
      <c r="T96" s="7" t="e">
        <f>IF(O96="",NA(),SUM($O$2:O96))</f>
        <v>#N/A</v>
      </c>
    </row>
    <row r="97" spans="1:20" x14ac:dyDescent="0.25">
      <c r="A97" s="2"/>
      <c r="B97" s="3"/>
      <c r="C97" s="3"/>
      <c r="D97" s="4"/>
      <c r="E97" s="4"/>
      <c r="F97" s="4"/>
      <c r="G97" s="3"/>
      <c r="H97" s="5" t="str">
        <f t="shared" si="18"/>
        <v/>
      </c>
      <c r="I97" s="6" t="str">
        <f t="shared" si="19"/>
        <v/>
      </c>
      <c r="J97" s="4"/>
      <c r="K97" s="6" t="str">
        <f t="shared" si="20"/>
        <v/>
      </c>
      <c r="L97" s="6" t="str">
        <f t="shared" si="21"/>
        <v/>
      </c>
      <c r="M97" s="7" t="str">
        <f t="shared" si="22"/>
        <v/>
      </c>
      <c r="N97" s="7" t="str">
        <f t="shared" si="23"/>
        <v/>
      </c>
      <c r="O97" s="7" t="str">
        <f t="shared" si="24"/>
        <v/>
      </c>
      <c r="P97" s="8" t="str">
        <f t="shared" si="25"/>
        <v/>
      </c>
      <c r="Q97" s="5" t="str">
        <f t="shared" si="26"/>
        <v/>
      </c>
      <c r="R97" s="3"/>
      <c r="S97" s="3"/>
      <c r="T97" s="7" t="e">
        <f>IF(O97="",NA(),SUM($O$2:O97))</f>
        <v>#N/A</v>
      </c>
    </row>
    <row r="98" spans="1:20" x14ac:dyDescent="0.25">
      <c r="A98" s="2"/>
      <c r="B98" s="3"/>
      <c r="C98" s="3"/>
      <c r="D98" s="4"/>
      <c r="E98" s="4"/>
      <c r="F98" s="4"/>
      <c r="G98" s="3"/>
      <c r="H98" s="5" t="str">
        <f t="shared" si="18"/>
        <v/>
      </c>
      <c r="I98" s="6" t="str">
        <f t="shared" ref="I98:I101" si="27">IF(OR(H98="",G98=""),"",H98*G98)</f>
        <v/>
      </c>
      <c r="J98" s="4"/>
      <c r="K98" s="6" t="str">
        <f t="shared" ref="K98:K101" si="28">IF(J98="","",IF(UPPER(C98)="BUY",D98*G98,J98*G98))</f>
        <v/>
      </c>
      <c r="L98" s="6" t="str">
        <f t="shared" si="21"/>
        <v/>
      </c>
      <c r="M98" s="7" t="str">
        <f t="shared" si="22"/>
        <v/>
      </c>
      <c r="N98" s="7" t="str">
        <f t="shared" si="23"/>
        <v/>
      </c>
      <c r="O98" s="7" t="str">
        <f t="shared" ref="O98:O101" si="29">IF(J98="","",M98-N98)</f>
        <v/>
      </c>
      <c r="P98" s="8" t="str">
        <f t="shared" ref="P98:P101" si="30">IF(J98="","",IF(O98&gt;0,"WIN",IF(O98&lt;0,"LOSS","BE")))</f>
        <v/>
      </c>
      <c r="Q98" s="5" t="str">
        <f t="shared" si="26"/>
        <v/>
      </c>
      <c r="R98" s="3"/>
      <c r="S98" s="3"/>
      <c r="T98" s="7" t="e">
        <f>IF(O98="",NA(),SUM($O$2:O98))</f>
        <v>#N/A</v>
      </c>
    </row>
    <row r="99" spans="1:20" x14ac:dyDescent="0.25">
      <c r="A99" s="2"/>
      <c r="B99" s="3"/>
      <c r="C99" s="3"/>
      <c r="D99" s="4"/>
      <c r="E99" s="4"/>
      <c r="F99" s="4"/>
      <c r="G99" s="3"/>
      <c r="H99" s="5" t="str">
        <f t="shared" si="18"/>
        <v/>
      </c>
      <c r="I99" s="6" t="str">
        <f t="shared" si="27"/>
        <v/>
      </c>
      <c r="J99" s="4"/>
      <c r="K99" s="6" t="str">
        <f t="shared" si="28"/>
        <v/>
      </c>
      <c r="L99" s="6" t="str">
        <f t="shared" si="21"/>
        <v/>
      </c>
      <c r="M99" s="7" t="str">
        <f t="shared" si="22"/>
        <v/>
      </c>
      <c r="N99" s="7" t="str">
        <f t="shared" si="23"/>
        <v/>
      </c>
      <c r="O99" s="7" t="str">
        <f t="shared" si="29"/>
        <v/>
      </c>
      <c r="P99" s="8" t="str">
        <f t="shared" si="30"/>
        <v/>
      </c>
      <c r="Q99" s="5" t="str">
        <f t="shared" si="26"/>
        <v/>
      </c>
      <c r="R99" s="3"/>
      <c r="S99" s="3"/>
      <c r="T99" s="7" t="e">
        <f>IF(O99="",NA(),SUM($O$2:O99))</f>
        <v>#N/A</v>
      </c>
    </row>
    <row r="100" spans="1:20" x14ac:dyDescent="0.25">
      <c r="A100" s="2"/>
      <c r="B100" s="3"/>
      <c r="C100" s="3"/>
      <c r="D100" s="4"/>
      <c r="E100" s="4"/>
      <c r="F100" s="4"/>
      <c r="G100" s="3"/>
      <c r="H100" s="5" t="str">
        <f t="shared" si="18"/>
        <v/>
      </c>
      <c r="I100" s="6" t="str">
        <f t="shared" si="27"/>
        <v/>
      </c>
      <c r="J100" s="4"/>
      <c r="K100" s="6" t="str">
        <f t="shared" si="28"/>
        <v/>
      </c>
      <c r="L100" s="6" t="str">
        <f t="shared" si="21"/>
        <v/>
      </c>
      <c r="M100" s="7" t="str">
        <f t="shared" si="22"/>
        <v/>
      </c>
      <c r="N100" s="7" t="str">
        <f t="shared" si="23"/>
        <v/>
      </c>
      <c r="O100" s="7" t="str">
        <f t="shared" si="29"/>
        <v/>
      </c>
      <c r="P100" s="8" t="str">
        <f t="shared" si="30"/>
        <v/>
      </c>
      <c r="Q100" s="5" t="str">
        <f t="shared" si="26"/>
        <v/>
      </c>
      <c r="R100" s="3"/>
      <c r="S100" s="3"/>
      <c r="T100" s="7" t="e">
        <f>IF(O100="",NA(),SUM($O$2:O100))</f>
        <v>#N/A</v>
      </c>
    </row>
    <row r="101" spans="1:20" x14ac:dyDescent="0.25">
      <c r="A101" s="2"/>
      <c r="B101" s="3"/>
      <c r="C101" s="3"/>
      <c r="D101" s="4"/>
      <c r="E101" s="4"/>
      <c r="F101" s="4"/>
      <c r="G101" s="3"/>
      <c r="H101" s="5" t="str">
        <f t="shared" si="18"/>
        <v/>
      </c>
      <c r="I101" s="6" t="str">
        <f t="shared" si="27"/>
        <v/>
      </c>
      <c r="J101" s="4"/>
      <c r="K101" s="6" t="str">
        <f t="shared" si="28"/>
        <v/>
      </c>
      <c r="L101" s="6" t="str">
        <f t="shared" si="21"/>
        <v/>
      </c>
      <c r="M101" s="7" t="str">
        <f t="shared" si="22"/>
        <v/>
      </c>
      <c r="N101" s="7" t="str">
        <f t="shared" si="23"/>
        <v/>
      </c>
      <c r="O101" s="7" t="str">
        <f t="shared" si="29"/>
        <v/>
      </c>
      <c r="P101" s="8" t="str">
        <f t="shared" si="30"/>
        <v/>
      </c>
      <c r="Q101" s="5" t="str">
        <f t="shared" si="26"/>
        <v/>
      </c>
      <c r="R101" s="3"/>
      <c r="S101" s="3"/>
      <c r="T101" s="7" t="e">
        <f>IF(O101="",NA(),SUM($O$2:O101))</f>
        <v>#N/A</v>
      </c>
    </row>
  </sheetData>
  <conditionalFormatting sqref="P2:P101">
    <cfRule type="cellIs" dxfId="1" priority="1" stopIfTrue="1" operator="equal">
      <formula>"WIN"</formula>
    </cfRule>
    <cfRule type="cellIs" dxfId="0" priority="2" stopIfTrue="1" operator="equal">
      <formula>"LOSS"</formula>
    </cfRule>
  </conditionalFormatting>
  <dataValidations count="1">
    <dataValidation type="list" allowBlank="1" showInputMessage="1" showErrorMessage="1" sqref="C2:C101" xr:uid="{58ED3A1D-6B85-4372-8CAA-6FE772C50DA3}">
      <formula1>"BUY,SELL"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DDDCC-272E-4E09-8B87-9FD44795495D}">
  <dimension ref="A1:B20"/>
  <sheetViews>
    <sheetView workbookViewId="0"/>
  </sheetViews>
  <sheetFormatPr defaultRowHeight="15" x14ac:dyDescent="0.25"/>
  <cols>
    <col min="1" max="1" width="24.7109375" customWidth="1"/>
    <col min="2" max="2" width="16.7109375" customWidth="1"/>
  </cols>
  <sheetData>
    <row r="1" spans="1:2" ht="27.95" customHeight="1" x14ac:dyDescent="0.3">
      <c r="A1" s="22" t="s">
        <v>20</v>
      </c>
      <c r="B1" s="23"/>
    </row>
    <row r="2" spans="1:2" x14ac:dyDescent="0.25">
      <c r="A2" s="10" t="s">
        <v>21</v>
      </c>
      <c r="B2" s="11">
        <f>B3+B4+B5</f>
        <v>0</v>
      </c>
    </row>
    <row r="3" spans="1:2" x14ac:dyDescent="0.25">
      <c r="A3" s="10" t="s">
        <v>22</v>
      </c>
      <c r="B3" s="11">
        <f>COUNTIF(Journal!P2:P101,"WIN")</f>
        <v>0</v>
      </c>
    </row>
    <row r="4" spans="1:2" x14ac:dyDescent="0.25">
      <c r="A4" s="10" t="s">
        <v>23</v>
      </c>
      <c r="B4" s="11">
        <f>COUNTIF(Journal!P2:P101,"LOSS")</f>
        <v>0</v>
      </c>
    </row>
    <row r="5" spans="1:2" x14ac:dyDescent="0.25">
      <c r="A5" s="10" t="s">
        <v>24</v>
      </c>
      <c r="B5" s="11">
        <f>COUNTIF(Journal!P2:P101,"BE")</f>
        <v>0</v>
      </c>
    </row>
    <row r="6" spans="1:2" x14ac:dyDescent="0.25">
      <c r="A6" s="14" t="s">
        <v>25</v>
      </c>
      <c r="B6" s="15">
        <f>IFERROR(B3/(B3+B4),0)</f>
        <v>0</v>
      </c>
    </row>
    <row r="7" spans="1:2" x14ac:dyDescent="0.25">
      <c r="A7" s="10" t="s">
        <v>26</v>
      </c>
      <c r="B7" s="12">
        <f>SUMIF(Journal!O2:O101,"&gt;0")</f>
        <v>0</v>
      </c>
    </row>
    <row r="8" spans="1:2" x14ac:dyDescent="0.25">
      <c r="A8" s="10" t="s">
        <v>27</v>
      </c>
      <c r="B8" s="12">
        <f>ABS(SUMIF(Journal!O2:O101,"&lt;0"))</f>
        <v>0</v>
      </c>
    </row>
    <row r="9" spans="1:2" x14ac:dyDescent="0.25">
      <c r="A9" s="16" t="s">
        <v>28</v>
      </c>
      <c r="B9" s="17" t="str">
        <f>IFERROR(B7/B8,"-")</f>
        <v>-</v>
      </c>
    </row>
    <row r="10" spans="1:2" x14ac:dyDescent="0.25">
      <c r="A10" s="18" t="s">
        <v>29</v>
      </c>
      <c r="B10" s="19">
        <f>SUM(Journal!O2:O101)</f>
        <v>0</v>
      </c>
    </row>
    <row r="11" spans="1:2" x14ac:dyDescent="0.25">
      <c r="A11" s="10" t="s">
        <v>30</v>
      </c>
      <c r="B11" s="12">
        <f>SUM(Journal!N2:N101)</f>
        <v>0</v>
      </c>
    </row>
    <row r="12" spans="1:2" x14ac:dyDescent="0.25">
      <c r="A12" s="10" t="s">
        <v>31</v>
      </c>
      <c r="B12" s="12">
        <f>IFERROR(AVERAGEIF(Journal!O2:O101,"&gt;0"),0)</f>
        <v>0</v>
      </c>
    </row>
    <row r="13" spans="1:2" x14ac:dyDescent="0.25">
      <c r="A13" s="10" t="s">
        <v>32</v>
      </c>
      <c r="B13" s="12">
        <f>IFERROR(AVERAGEIF(Journal!O2:O101,"&lt;0"),0)</f>
        <v>0</v>
      </c>
    </row>
    <row r="14" spans="1:2" x14ac:dyDescent="0.25">
      <c r="A14" s="10" t="s">
        <v>33</v>
      </c>
      <c r="B14" s="11">
        <f>IFERROR(B9/B2,0)</f>
        <v>0</v>
      </c>
    </row>
    <row r="15" spans="1:2" x14ac:dyDescent="0.25">
      <c r="A15" s="10" t="s">
        <v>34</v>
      </c>
      <c r="B15" s="13">
        <f>IFERROR(AVERAGE(Journal!Q2:Q101),0)</f>
        <v>0</v>
      </c>
    </row>
    <row r="16" spans="1:2" x14ac:dyDescent="0.25">
      <c r="A16" s="10" t="s">
        <v>35</v>
      </c>
      <c r="B16" s="11">
        <f>IFERROR(MAX(Journal!O2:O101),0)</f>
        <v>0</v>
      </c>
    </row>
    <row r="17" spans="1:2" x14ac:dyDescent="0.25">
      <c r="A17" s="10" t="s">
        <v>36</v>
      </c>
      <c r="B17" s="12">
        <f>IFERROR(MIN(Journal!O2:O101),0)</f>
        <v>0</v>
      </c>
    </row>
    <row r="18" spans="1:2" x14ac:dyDescent="0.25">
      <c r="B18" s="1"/>
    </row>
    <row r="20" spans="1:2" x14ac:dyDescent="0.25">
      <c r="A20" s="20" t="s">
        <v>37</v>
      </c>
    </row>
  </sheetData>
  <mergeCells count="1">
    <mergeCell ref="A1:B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BB404F-5F7C-46A9-92EC-718849F1BE64}">
  <dimension ref="A1:A34"/>
  <sheetViews>
    <sheetView tabSelected="1" workbookViewId="0">
      <selection activeCell="A34" sqref="A34"/>
    </sheetView>
  </sheetViews>
  <sheetFormatPr defaultRowHeight="15" x14ac:dyDescent="0.25"/>
  <cols>
    <col min="1" max="1" width="95.7109375" customWidth="1"/>
  </cols>
  <sheetData>
    <row r="1" spans="1:1" ht="18.75" x14ac:dyDescent="0.3">
      <c r="A1" s="21" t="s">
        <v>38</v>
      </c>
    </row>
    <row r="3" spans="1:1" x14ac:dyDescent="0.25">
      <c r="A3" t="s">
        <v>39</v>
      </c>
    </row>
    <row r="4" spans="1:1" x14ac:dyDescent="0.25">
      <c r="A4" t="s">
        <v>40</v>
      </c>
    </row>
    <row r="5" spans="1:1" x14ac:dyDescent="0.25">
      <c r="A5" t="s">
        <v>41</v>
      </c>
    </row>
    <row r="7" spans="1:1" x14ac:dyDescent="0.25">
      <c r="A7" t="s">
        <v>42</v>
      </c>
    </row>
    <row r="8" spans="1:1" x14ac:dyDescent="0.25">
      <c r="A8" t="s">
        <v>43</v>
      </c>
    </row>
    <row r="10" spans="1:1" x14ac:dyDescent="0.25">
      <c r="A10" t="s">
        <v>44</v>
      </c>
    </row>
    <row r="11" spans="1:1" x14ac:dyDescent="0.25">
      <c r="A11" t="s">
        <v>45</v>
      </c>
    </row>
    <row r="13" spans="1:1" x14ac:dyDescent="0.25">
      <c r="A13" t="s">
        <v>46</v>
      </c>
    </row>
    <row r="15" spans="1:1" x14ac:dyDescent="0.25">
      <c r="A15" t="s">
        <v>47</v>
      </c>
    </row>
    <row r="16" spans="1:1" x14ac:dyDescent="0.25">
      <c r="A16" t="s">
        <v>48</v>
      </c>
    </row>
    <row r="17" spans="1:1" x14ac:dyDescent="0.25">
      <c r="A17" t="s">
        <v>49</v>
      </c>
    </row>
    <row r="18" spans="1:1" x14ac:dyDescent="0.25">
      <c r="A18" t="s">
        <v>50</v>
      </c>
    </row>
    <row r="19" spans="1:1" x14ac:dyDescent="0.25">
      <c r="A19" t="s">
        <v>51</v>
      </c>
    </row>
    <row r="20" spans="1:1" x14ac:dyDescent="0.25">
      <c r="A20" t="s">
        <v>52</v>
      </c>
    </row>
    <row r="21" spans="1:1" x14ac:dyDescent="0.25">
      <c r="A21" t="s">
        <v>53</v>
      </c>
    </row>
    <row r="23" spans="1:1" x14ac:dyDescent="0.25">
      <c r="A23" t="s">
        <v>54</v>
      </c>
    </row>
    <row r="24" spans="1:1" x14ac:dyDescent="0.25">
      <c r="A24" t="s">
        <v>55</v>
      </c>
    </row>
    <row r="25" spans="1:1" x14ac:dyDescent="0.25">
      <c r="A25" t="s">
        <v>56</v>
      </c>
    </row>
    <row r="27" spans="1:1" x14ac:dyDescent="0.25">
      <c r="A27" t="s">
        <v>57</v>
      </c>
    </row>
    <row r="28" spans="1:1" x14ac:dyDescent="0.25">
      <c r="A28" t="s">
        <v>58</v>
      </c>
    </row>
    <row r="29" spans="1:1" x14ac:dyDescent="0.25">
      <c r="A29" t="s">
        <v>59</v>
      </c>
    </row>
    <row r="30" spans="1:1" x14ac:dyDescent="0.25">
      <c r="A30" t="s">
        <v>60</v>
      </c>
    </row>
    <row r="31" spans="1:1" x14ac:dyDescent="0.25">
      <c r="A31" t="s">
        <v>61</v>
      </c>
    </row>
    <row r="34" spans="1:1" ht="409.5" x14ac:dyDescent="0.25">
      <c r="A34" s="24" t="s">
        <v>62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Journal</vt:lpstr>
      <vt:lpstr>Summary</vt:lpstr>
      <vt:lpstr>Guide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Denesh Kumar Patwa</dc:creator>
  <cp:lastModifiedBy>Denesh Kumar Patwa</cp:lastModifiedBy>
  <dcterms:created xsi:type="dcterms:W3CDTF">2026-07-09T13:44:15Z</dcterms:created>
  <dcterms:modified xsi:type="dcterms:W3CDTF">2026-07-09T13:47:13Z</dcterms:modified>
</cp:coreProperties>
</file>